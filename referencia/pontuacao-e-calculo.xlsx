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Respostas" sheetId="2" state="visible" r:id="rId2"/>
    <sheet name="Cálculo"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sz val="14"/>
    </font>
    <font>
      <b val="1"/>
      <sz val="12"/>
    </font>
    <font>
      <b val="1"/>
    </font>
    <font>
      <b val="1"/>
      <color rgb="FFFFFFFF"/>
    </font>
  </fonts>
  <fills count="4">
    <fill>
      <patternFill/>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0" fillId="0" borderId="1" pivotButton="0" quotePrefix="0" xfId="0"/>
    <xf numFmtId="0" fontId="4" fillId="2" borderId="0" pivotButton="0" quotePrefix="0" xfId="0"/>
    <xf numFmtId="0" fontId="0" fillId="0" borderId="1" applyAlignment="1" pivotButton="0" quotePrefix="0" xfId="0">
      <alignment vertical="top" wrapText="1"/>
    </xf>
    <xf numFmtId="0" fontId="0" fillId="3" borderId="1" pivotButton="0" quotePrefix="0" xfId="0"/>
    <xf numFmtId="0" fontId="0" fillId="3" borderId="1" applyAlignment="1" pivotButton="0" quotePrefix="0" xfId="0">
      <alignment vertical="top" wrapText="1"/>
    </xf>
    <xf numFmtId="0" fontId="2" fillId="0" borderId="0" pivotButton="0" quotePrefix="0" xfId="0"/>
    <xf numFmtId="0" fontId="4" fillId="2" borderId="0" applyAlignment="1" pivotButton="0" quotePrefix="0" xfId="0">
      <alignment vertical="top" wrapText="1"/>
    </xf>
    <xf numFmtId="164" fontId="0"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0" customWidth="1" min="1" max="1"/>
    <col width="90" customWidth="1" min="2" max="2"/>
  </cols>
  <sheetData>
    <row r="1">
      <c r="A1" s="1" t="inlineStr">
        <is>
          <t>Planilha auditável de pontuação (AI Maturity Assessment)</t>
        </is>
      </c>
    </row>
    <row r="3">
      <c r="A3" s="2" t="inlineStr">
        <is>
          <t>O que é</t>
        </is>
      </c>
    </row>
    <row r="4">
      <c r="A4" s="3" t="inlineStr"/>
      <c r="B4" s="3" t="inlineStr">
        <is>
          <t>Esta planilha cobre todas as 158 questões e 28 capabilities do framework.json e calcula os scores com fórmulas SUMPRODUCT visíveis, idênticas ao algoritmo oficial descrito em referencia/pontuacao-e-calculo.md e implementado em scripts/compute_scores.py.</t>
        </is>
      </c>
    </row>
    <row r="6">
      <c r="A6" s="2" t="inlineStr">
        <is>
          <t>Como usar</t>
        </is>
      </c>
    </row>
    <row r="7">
      <c r="B7" s="3" t="inlineStr">
        <is>
          <t>1. Na aba "Respostas", preencha a coluna "Nível" (0 a 4) para cada questão respondida. Deixe em branco as questões sem resposta.</t>
        </is>
      </c>
    </row>
    <row r="8">
      <c r="B8" s="3" t="inlineStr">
        <is>
          <t>2. Registre a evidência de cada resposta na coluna "Evidência".</t>
        </is>
      </c>
    </row>
    <row r="9">
      <c r="B9" s="3" t="inlineStr">
        <is>
          <t>3. A aba "Cálculo" atualiza automaticamente: score por capability, por pilar, overall, rótulos de maturidade e o threshold de cobertura.</t>
        </is>
      </c>
    </row>
    <row r="10">
      <c r="B10" s="3" t="inlineStr">
        <is>
          <t>4. Não edite as colunas de peso: os pesos vêm do framework.json, a fonte única da verdade. Para regenerar ou pré-popular esta planilha use scripts/generate_scoring_workbook.py.</t>
        </is>
      </c>
    </row>
    <row r="12">
      <c r="A12" s="2" t="inlineStr">
        <is>
          <t>Como o score é calculado</t>
        </is>
      </c>
    </row>
    <row r="13">
      <c r="B13" s="3" t="inlineStr">
        <is>
          <t>Capability: soma(nível x peso da questão) / soma(pesos das questões respondidas). Questões em branco não somam no numerador nem no denominador.</t>
        </is>
      </c>
    </row>
    <row r="14">
      <c r="B14" s="3" t="inlineStr">
        <is>
          <t>Pilar: soma(score da capability x peso da capability) / soma(pesos), considerando apenas capabilities com ao menos 1 resposta.</t>
        </is>
      </c>
    </row>
    <row r="15">
      <c r="B15" s="3" t="inlineStr">
        <is>
          <t>Overall: mesmo SUMPRODUCT aplicado sobre TODAS as capabilities do framework. Não é a média dos 3 pilares.</t>
        </is>
      </c>
    </row>
    <row r="17">
      <c r="A17" s="2" t="inlineStr">
        <is>
          <t>Rótulos de maturidade</t>
        </is>
      </c>
    </row>
    <row r="18">
      <c r="A18" s="4" t="inlineStr">
        <is>
          <t>Faixa de score</t>
        </is>
      </c>
      <c r="B18" s="4" t="inlineStr">
        <is>
          <t>Rótulo</t>
        </is>
      </c>
    </row>
    <row r="19">
      <c r="A19" s="5" t="inlineStr">
        <is>
          <t>score &lt; 0.5</t>
        </is>
      </c>
      <c r="B19" s="5" t="inlineStr">
        <is>
          <t>L0 — Inicial</t>
        </is>
      </c>
    </row>
    <row r="20">
      <c r="A20" s="5" t="inlineStr">
        <is>
          <t>0.5 &lt;= score &lt; 1.5</t>
        </is>
      </c>
      <c r="B20" s="5" t="inlineStr">
        <is>
          <t>L1 — Em Desenvolvimento</t>
        </is>
      </c>
    </row>
    <row r="21">
      <c r="A21" s="5" t="inlineStr">
        <is>
          <t>1.5 &lt;= score &lt; 2.5</t>
        </is>
      </c>
      <c r="B21" s="5" t="inlineStr">
        <is>
          <t>L2 — Definido</t>
        </is>
      </c>
    </row>
    <row r="22">
      <c r="A22" s="5" t="inlineStr">
        <is>
          <t>2.5 &lt;= score &lt; 3.5</t>
        </is>
      </c>
      <c r="B22" s="5" t="inlineStr">
        <is>
          <t>L3 — Gerenciado</t>
        </is>
      </c>
    </row>
    <row r="23">
      <c r="A23" s="5" t="inlineStr">
        <is>
          <t>score &gt;= 3.5</t>
        </is>
      </c>
      <c r="B23" s="5" t="inlineStr">
        <is>
          <t>L4 — Otimizando</t>
        </is>
      </c>
    </row>
    <row r="25">
      <c r="A25" s="2" t="inlineStr">
        <is>
          <t>Threshold de cobertura</t>
        </is>
      </c>
    </row>
    <row r="26">
      <c r="A26" s="4" t="inlineStr">
        <is>
          <t>Questões respondidas</t>
        </is>
      </c>
      <c r="B26" s="4" t="inlineStr">
        <is>
          <t>Status</t>
        </is>
      </c>
    </row>
    <row r="27">
      <c r="A27" s="5" t="inlineStr">
        <is>
          <t>&gt;= 40</t>
        </is>
      </c>
      <c r="B27" s="5" t="inlineStr">
        <is>
          <t>OK: scoring normal</t>
        </is>
      </c>
    </row>
    <row r="28">
      <c r="A28" s="5" t="inlineStr">
        <is>
          <t>25 a 39</t>
        </is>
      </c>
      <c r="B28" s="5" t="inlineStr">
        <is>
          <t>WARNING: resultado preliminar, confiabilidade limitada</t>
        </is>
      </c>
    </row>
    <row r="29">
      <c r="A29" s="5" t="inlineStr">
        <is>
          <t>&lt; 25</t>
        </is>
      </c>
      <c r="B29" s="5" t="inlineStr">
        <is>
          <t>BLOCKED: cobertura insuficiente, não usar para decisões executivas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9"/>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0" customWidth="1" min="3" max="3"/>
    <col width="70" customWidth="1" min="4" max="4"/>
    <col width="7" customWidth="1" min="5" max="5"/>
    <col width="8" customWidth="1" min="6" max="6"/>
    <col width="60" customWidth="1" min="7" max="7"/>
  </cols>
  <sheetData>
    <row r="1">
      <c r="A1" s="6" t="inlineStr">
        <is>
          <t>QID</t>
        </is>
      </c>
      <c r="B1" s="6" t="inlineStr">
        <is>
          <t>Pilar</t>
        </is>
      </c>
      <c r="C1" s="6" t="inlineStr">
        <is>
          <t>Capability</t>
        </is>
      </c>
      <c r="D1" s="6" t="inlineStr">
        <is>
          <t>Pergunta</t>
        </is>
      </c>
      <c r="E1" s="6" t="inlineStr">
        <is>
          <t>Peso</t>
        </is>
      </c>
      <c r="F1" s="6" t="inlineStr">
        <is>
          <t>Nível</t>
        </is>
      </c>
      <c r="G1" s="6" t="inlineStr">
        <is>
          <t>Evidência</t>
        </is>
      </c>
    </row>
    <row r="2">
      <c r="A2" s="5" t="inlineStr">
        <is>
          <t>P1-C1-Q1</t>
        </is>
      </c>
      <c r="B2" s="5" t="inlineStr">
        <is>
          <t>P1</t>
        </is>
      </c>
      <c r="C2" s="5" t="inlineStr">
        <is>
          <t>P1-C1</t>
        </is>
      </c>
      <c r="D2" s="7" t="inlineStr">
        <is>
          <t>Em que medida sua organização utiliza ferramentas de completação de código com IA (ex. GitHub Copilot)?</t>
        </is>
      </c>
      <c r="E2" s="5" t="n">
        <v>1</v>
      </c>
      <c r="F2" s="8" t="n"/>
      <c r="G2" s="9" t="n"/>
    </row>
    <row r="3">
      <c r="A3" s="5" t="inlineStr">
        <is>
          <t>P1-C1-Q2</t>
        </is>
      </c>
      <c r="B3" s="5" t="inlineStr">
        <is>
          <t>P1</t>
        </is>
      </c>
      <c r="C3" s="5" t="inlineStr">
        <is>
          <t>P1-C1</t>
        </is>
      </c>
      <c r="D3" s="7" t="inlineStr">
        <is>
          <t>Quão efetivamente sua equipe aproveita IA para revisão de código e melhoria de qualidade?</t>
        </is>
      </c>
      <c r="E3" s="5" t="n">
        <v>1</v>
      </c>
      <c r="F3" s="8" t="n"/>
      <c r="G3" s="9" t="n"/>
    </row>
    <row r="4">
      <c r="A4" s="5" t="inlineStr">
        <is>
          <t>P1-C1-Q3</t>
        </is>
      </c>
      <c r="B4" s="5" t="inlineStr">
        <is>
          <t>P1</t>
        </is>
      </c>
      <c r="C4" s="5" t="inlineStr">
        <is>
          <t>P1-C1</t>
        </is>
      </c>
      <c r="D4" s="7" t="inlineStr">
        <is>
          <t>Como sua organização mede e rastreia o impacto das ferramentas de codificação IA na produtividade?</t>
        </is>
      </c>
      <c r="E4" s="5" t="n">
        <v>0.8</v>
      </c>
      <c r="F4" s="8" t="n"/>
      <c r="G4" s="9" t="n"/>
    </row>
    <row r="5">
      <c r="A5" s="5" t="inlineStr">
        <is>
          <t>P1-C1-Q4</t>
        </is>
      </c>
      <c r="B5" s="5" t="inlineStr">
        <is>
          <t>P1</t>
        </is>
      </c>
      <c r="C5" s="5" t="inlineStr">
        <is>
          <t>P1-C1</t>
        </is>
      </c>
      <c r="D5" s="7" t="inlineStr">
        <is>
          <t>Qual nível de capacidades de testes assistidos por IA sua organização emprega?</t>
        </is>
      </c>
      <c r="E5" s="5" t="n">
        <v>1</v>
      </c>
      <c r="F5" s="8" t="n"/>
      <c r="G5" s="9" t="n"/>
    </row>
    <row r="6">
      <c r="A6" s="5" t="inlineStr">
        <is>
          <t>P1-C1-Q5</t>
        </is>
      </c>
      <c r="B6" s="5" t="inlineStr">
        <is>
          <t>P1</t>
        </is>
      </c>
      <c r="C6" s="5" t="inlineStr">
        <is>
          <t>P1-C1</t>
        </is>
      </c>
      <c r="D6" s="7" t="inlineStr">
        <is>
          <t>Como sua organização governa o código gerado por IA em termos de segurança e conformidade?</t>
        </is>
      </c>
      <c r="E6" s="5" t="n">
        <v>1.1</v>
      </c>
      <c r="F6" s="8" t="n"/>
      <c r="G6" s="9" t="n"/>
    </row>
    <row r="7">
      <c r="A7" s="5" t="inlineStr">
        <is>
          <t>P1-C2-Q1</t>
        </is>
      </c>
      <c r="B7" s="5" t="inlineStr">
        <is>
          <t>P1</t>
        </is>
      </c>
      <c r="C7" s="5" t="inlineStr">
        <is>
          <t>P1-C2</t>
        </is>
      </c>
      <c r="D7" s="7" t="inlineStr">
        <is>
          <t>Quão maduro é seu portal ou plataforma interna para desenvolvedores?</t>
        </is>
      </c>
      <c r="E7" s="5" t="n">
        <v>1</v>
      </c>
      <c r="F7" s="8" t="n"/>
      <c r="G7" s="9" t="n"/>
    </row>
    <row r="8">
      <c r="A8" s="5" t="inlineStr">
        <is>
          <t>P1-C2-Q2</t>
        </is>
      </c>
      <c r="B8" s="5" t="inlineStr">
        <is>
          <t>P1</t>
        </is>
      </c>
      <c r="C8" s="5" t="inlineStr">
        <is>
          <t>P1-C2</t>
        </is>
      </c>
      <c r="D8" s="7" t="inlineStr">
        <is>
          <t>Quão efetivamente suas equipes usam ambientes de desenvolvimento padronizados?</t>
        </is>
      </c>
      <c r="E8" s="5" t="n">
        <v>0.9</v>
      </c>
      <c r="F8" s="8" t="n"/>
      <c r="G8" s="9" t="n"/>
    </row>
    <row r="9">
      <c r="A9" s="5" t="inlineStr">
        <is>
          <t>P1-C2-Q3</t>
        </is>
      </c>
      <c r="B9" s="5" t="inlineStr">
        <is>
          <t>P1</t>
        </is>
      </c>
      <c r="C9" s="5" t="inlineStr">
        <is>
          <t>P1-C2</t>
        </is>
      </c>
      <c r="D9" s="7" t="inlineStr">
        <is>
          <t>Em que medida Plataforma de Experiência do Desenvolvedor (self-service IDP) foi adotado entre as equipes?</t>
        </is>
      </c>
      <c r="E9" s="5" t="n">
        <v>1</v>
      </c>
      <c r="F9" s="8" t="n"/>
      <c r="G9" s="9" t="n"/>
    </row>
    <row r="10">
      <c r="A10" s="5" t="inlineStr">
        <is>
          <t>P1-C2-Q4</t>
        </is>
      </c>
      <c r="B10" s="5" t="inlineStr">
        <is>
          <t>P1</t>
        </is>
      </c>
      <c r="C10" s="5" t="inlineStr">
        <is>
          <t>P1-C2</t>
        </is>
      </c>
      <c r="D10" s="7" t="inlineStr">
        <is>
          <t>Em que medida Plataforma de Experiência do Desenvolvedor (golden paths and templates) foi adotado entre as equipes?</t>
        </is>
      </c>
      <c r="E10" s="5" t="n">
        <v>1</v>
      </c>
      <c r="F10" s="8" t="n"/>
      <c r="G10" s="9" t="n"/>
    </row>
    <row r="11">
      <c r="A11" s="5" t="inlineStr">
        <is>
          <t>P1-C2-Q5</t>
        </is>
      </c>
      <c r="B11" s="5" t="inlineStr">
        <is>
          <t>P1</t>
        </is>
      </c>
      <c r="C11" s="5" t="inlineStr">
        <is>
          <t>P1-C2</t>
        </is>
      </c>
      <c r="D11" s="7" t="inlineStr">
        <is>
          <t>Em que medida Plataforma de Experiência do Desenvolvedor (developer portal) foi adotado entre as equipes?</t>
        </is>
      </c>
      <c r="E11" s="5" t="n">
        <v>1</v>
      </c>
      <c r="F11" s="8" t="n"/>
      <c r="G11" s="9" t="n"/>
    </row>
    <row r="12">
      <c r="A12" s="5" t="inlineStr">
        <is>
          <t>P1-C2-Q6</t>
        </is>
      </c>
      <c r="B12" s="5" t="inlineStr">
        <is>
          <t>P1</t>
        </is>
      </c>
      <c r="C12" s="5" t="inlineStr">
        <is>
          <t>P1-C2</t>
        </is>
      </c>
      <c r="D12" s="7" t="inlineStr">
        <is>
          <t>Em que medida Plataforma de Experiência do Desenvolvedor (paved road policy enforcement) foi adotado entre as equipes?</t>
        </is>
      </c>
      <c r="E12" s="5" t="n">
        <v>1</v>
      </c>
      <c r="F12" s="8" t="n"/>
      <c r="G12" s="9" t="n"/>
    </row>
    <row r="13">
      <c r="A13" s="5" t="inlineStr">
        <is>
          <t>P1-C3-Q1</t>
        </is>
      </c>
      <c r="B13" s="5" t="inlineStr">
        <is>
          <t>P1</t>
        </is>
      </c>
      <c r="C13" s="5" t="inlineStr">
        <is>
          <t>P1-C3</t>
        </is>
      </c>
      <c r="D13" s="7" t="inlineStr">
        <is>
          <t>Quão efetivamente sua organização captura e compartilha conhecimento de desenvolvimento?</t>
        </is>
      </c>
      <c r="E13" s="5" t="n">
        <v>1</v>
      </c>
      <c r="F13" s="8" t="n"/>
      <c r="G13" s="9" t="n"/>
    </row>
    <row r="14">
      <c r="A14" s="5" t="inlineStr">
        <is>
          <t>P1-C3-Q2</t>
        </is>
      </c>
      <c r="B14" s="5" t="inlineStr">
        <is>
          <t>P1</t>
        </is>
      </c>
      <c r="C14" s="5" t="inlineStr">
        <is>
          <t>P1-C3</t>
        </is>
      </c>
      <c r="D14" s="7" t="inlineStr">
        <is>
          <t>Em que medida Gestão do Conhecimento (semantic code search) foi adotado entre as equipes?</t>
        </is>
      </c>
      <c r="E14" s="5" t="n">
        <v>1</v>
      </c>
      <c r="F14" s="8" t="n"/>
      <c r="G14" s="9" t="n"/>
    </row>
    <row r="15">
      <c r="A15" s="5" t="inlineStr">
        <is>
          <t>P1-C3-Q3</t>
        </is>
      </c>
      <c r="B15" s="5" t="inlineStr">
        <is>
          <t>P1</t>
        </is>
      </c>
      <c r="C15" s="5" t="inlineStr">
        <is>
          <t>P1-C3</t>
        </is>
      </c>
      <c r="D15" s="7" t="inlineStr">
        <is>
          <t>Em que medida Gestão do Conhecimento (RAG-based docs assistant) foi adotado entre as equipes?</t>
        </is>
      </c>
      <c r="E15" s="5" t="n">
        <v>1</v>
      </c>
      <c r="F15" s="8" t="n"/>
      <c r="G15" s="9" t="n"/>
    </row>
    <row r="16">
      <c r="A16" s="5" t="inlineStr">
        <is>
          <t>P1-C3-Q4</t>
        </is>
      </c>
      <c r="B16" s="5" t="inlineStr">
        <is>
          <t>P1</t>
        </is>
      </c>
      <c r="C16" s="5" t="inlineStr">
        <is>
          <t>P1-C3</t>
        </is>
      </c>
      <c r="D16" s="7" t="inlineStr">
        <is>
          <t>Em que medida Gestão do Conhecimento (runbook and playbook coverage) foi adotado entre as equipes?</t>
        </is>
      </c>
      <c r="E16" s="5" t="n">
        <v>1</v>
      </c>
      <c r="F16" s="8" t="n"/>
      <c r="G16" s="9" t="n"/>
    </row>
    <row r="17">
      <c r="A17" s="5" t="inlineStr">
        <is>
          <t>P1-C3-Q5</t>
        </is>
      </c>
      <c r="B17" s="5" t="inlineStr">
        <is>
          <t>P1</t>
        </is>
      </c>
      <c r="C17" s="5" t="inlineStr">
        <is>
          <t>P1-C3</t>
        </is>
      </c>
      <c r="D17" s="7" t="inlineStr">
        <is>
          <t>Em que medida Gestão do Conhecimento (ADR (architecture decision records)) foi adotado entre as equipes?</t>
        </is>
      </c>
      <c r="E17" s="5" t="n">
        <v>1</v>
      </c>
      <c r="F17" s="8" t="n"/>
      <c r="G17" s="9" t="n"/>
    </row>
    <row r="18">
      <c r="A18" s="5" t="inlineStr">
        <is>
          <t>P1-C3-Q6</t>
        </is>
      </c>
      <c r="B18" s="5" t="inlineStr">
        <is>
          <t>P1</t>
        </is>
      </c>
      <c r="C18" s="5" t="inlineStr">
        <is>
          <t>P1-C3</t>
        </is>
      </c>
      <c r="D18" s="7" t="inlineStr">
        <is>
          <t>Em que medida Gestão do Conhecimento (learning content &amp; curated paths) foi adotado entre as equipes?</t>
        </is>
      </c>
      <c r="E18" s="5" t="n">
        <v>1</v>
      </c>
      <c r="F18" s="8" t="n"/>
      <c r="G18" s="9" t="n"/>
    </row>
    <row r="19">
      <c r="A19" s="5" t="inlineStr">
        <is>
          <t>P1-C4-Q1</t>
        </is>
      </c>
      <c r="B19" s="5" t="inlineStr">
        <is>
          <t>P1</t>
        </is>
      </c>
      <c r="C19" s="5" t="inlineStr">
        <is>
          <t>P1-C4</t>
        </is>
      </c>
      <c r="D19" s="7" t="inlineStr">
        <is>
          <t>Em que medida Automação de Revisão de Código (AI reviewer bot on every PR) foi adotado entre as equipes?</t>
        </is>
      </c>
      <c r="E19" s="5" t="n">
        <v>1</v>
      </c>
      <c r="F19" s="8" t="n"/>
      <c r="G19" s="9" t="n"/>
    </row>
    <row r="20">
      <c r="A20" s="5" t="inlineStr">
        <is>
          <t>P1-C4-Q2</t>
        </is>
      </c>
      <c r="B20" s="5" t="inlineStr">
        <is>
          <t>P1</t>
        </is>
      </c>
      <c r="C20" s="5" t="inlineStr">
        <is>
          <t>P1-C4</t>
        </is>
      </c>
      <c r="D20" s="7" t="inlineStr">
        <is>
          <t>Em que medida Automação de Revisão de Código (static linting and style auto-fix) foi adotado entre as equipes?</t>
        </is>
      </c>
      <c r="E20" s="5" t="n">
        <v>1</v>
      </c>
      <c r="F20" s="8" t="n"/>
      <c r="G20" s="9" t="n"/>
    </row>
    <row r="21">
      <c r="A21" s="5" t="inlineStr">
        <is>
          <t>P1-C4-Q3</t>
        </is>
      </c>
      <c r="B21" s="5" t="inlineStr">
        <is>
          <t>P1</t>
        </is>
      </c>
      <c r="C21" s="5" t="inlineStr">
        <is>
          <t>P1-C4</t>
        </is>
      </c>
      <c r="D21" s="7" t="inlineStr">
        <is>
          <t>Em que medida Automação de Revisão de Código (automated security review) foi adotado entre as equipes?</t>
        </is>
      </c>
      <c r="E21" s="5" t="n">
        <v>1</v>
      </c>
      <c r="F21" s="8" t="n"/>
      <c r="G21" s="9" t="n"/>
    </row>
    <row r="22">
      <c r="A22" s="5" t="inlineStr">
        <is>
          <t>P1-C4-Q4</t>
        </is>
      </c>
      <c r="B22" s="5" t="inlineStr">
        <is>
          <t>P1</t>
        </is>
      </c>
      <c r="C22" s="5" t="inlineStr">
        <is>
          <t>P1-C4</t>
        </is>
      </c>
      <c r="D22" s="7" t="inlineStr">
        <is>
          <t>Em que medida Automação de Revisão de Código (required-reviewer rules) foi adotado entre as equipes?</t>
        </is>
      </c>
      <c r="E22" s="5" t="n">
        <v>1</v>
      </c>
      <c r="F22" s="8" t="n"/>
      <c r="G22" s="9" t="n"/>
    </row>
    <row r="23">
      <c r="A23" s="5" t="inlineStr">
        <is>
          <t>P1-C4-Q5</t>
        </is>
      </c>
      <c r="B23" s="5" t="inlineStr">
        <is>
          <t>P1</t>
        </is>
      </c>
      <c r="C23" s="5" t="inlineStr">
        <is>
          <t>P1-C4</t>
        </is>
      </c>
      <c r="D23" s="7" t="inlineStr">
        <is>
          <t>Em que medida Automação de Revisão de Código (review SLA tracking) foi adotado entre as equipes?</t>
        </is>
      </c>
      <c r="E23" s="5" t="n">
        <v>1</v>
      </c>
      <c r="F23" s="8" t="n"/>
      <c r="G23" s="9" t="n"/>
    </row>
    <row r="24">
      <c r="A24" s="5" t="inlineStr">
        <is>
          <t>P1-C4-Q6</t>
        </is>
      </c>
      <c r="B24" s="5" t="inlineStr">
        <is>
          <t>P1</t>
        </is>
      </c>
      <c r="C24" s="5" t="inlineStr">
        <is>
          <t>P1-C4</t>
        </is>
      </c>
      <c r="D24" s="7" t="inlineStr">
        <is>
          <t>Em que medida Automação de Revisão de Código (change size enforcement) foi adotado entre as equipes?</t>
        </is>
      </c>
      <c r="E24" s="5" t="n">
        <v>1</v>
      </c>
      <c r="F24" s="8" t="n"/>
      <c r="G24" s="9" t="n"/>
    </row>
    <row r="25">
      <c r="A25" s="5" t="inlineStr">
        <is>
          <t>P1-C4-Q7</t>
        </is>
      </c>
      <c r="B25" s="5" t="inlineStr">
        <is>
          <t>P1</t>
        </is>
      </c>
      <c r="C25" s="5" t="inlineStr">
        <is>
          <t>P1-C4</t>
        </is>
      </c>
      <c r="D25" s="7" t="inlineStr">
        <is>
          <t>Em que medida Automação de Revisão de Código (reviewer load balancing) foi adotado entre as equipes?</t>
        </is>
      </c>
      <c r="E25" s="5" t="n">
        <v>1</v>
      </c>
      <c r="F25" s="8" t="n"/>
      <c r="G25" s="9" t="n"/>
    </row>
    <row r="26">
      <c r="A26" s="5" t="inlineStr">
        <is>
          <t>P1-C5-Q1</t>
        </is>
      </c>
      <c r="B26" s="5" t="inlineStr">
        <is>
          <t>P1</t>
        </is>
      </c>
      <c r="C26" s="5" t="inlineStr">
        <is>
          <t>P1-C5</t>
        </is>
      </c>
      <c r="D26" s="7" t="inlineStr">
        <is>
          <t>Em que medida Onboarding e Treinamento de Desenvolvedores (codespaces/dev containers for instant env) foi adotado entre as equipes?</t>
        </is>
      </c>
      <c r="E26" s="5" t="n">
        <v>1</v>
      </c>
      <c r="F26" s="8" t="n"/>
      <c r="G26" s="9" t="n"/>
    </row>
    <row r="27">
      <c r="A27" s="5" t="inlineStr">
        <is>
          <t>P1-C5-Q2</t>
        </is>
      </c>
      <c r="B27" s="5" t="inlineStr">
        <is>
          <t>P1</t>
        </is>
      </c>
      <c r="C27" s="5" t="inlineStr">
        <is>
          <t>P1-C5</t>
        </is>
      </c>
      <c r="D27" s="7" t="inlineStr">
        <is>
          <t>Em que medida Onboarding e Treinamento de Desenvolvedores (structured onboarding playbook) foi adotado entre as equipes?</t>
        </is>
      </c>
      <c r="E27" s="5" t="n">
        <v>1</v>
      </c>
      <c r="F27" s="8" t="n"/>
      <c r="G27" s="9" t="n"/>
    </row>
    <row r="28">
      <c r="A28" s="5" t="inlineStr">
        <is>
          <t>P1-C5-Q3</t>
        </is>
      </c>
      <c r="B28" s="5" t="inlineStr">
        <is>
          <t>P1</t>
        </is>
      </c>
      <c r="C28" s="5" t="inlineStr">
        <is>
          <t>P1-C5</t>
        </is>
      </c>
      <c r="D28" s="7" t="inlineStr">
        <is>
          <t>Em que medida Onboarding e Treinamento de Desenvolvedores (mentor pairing program) foi adotado entre as equipes?</t>
        </is>
      </c>
      <c r="E28" s="5" t="n">
        <v>1</v>
      </c>
      <c r="F28" s="8" t="n"/>
      <c r="G28" s="9" t="n"/>
    </row>
    <row r="29">
      <c r="A29" s="5" t="inlineStr">
        <is>
          <t>P1-C5-Q4</t>
        </is>
      </c>
      <c r="B29" s="5" t="inlineStr">
        <is>
          <t>P1</t>
        </is>
      </c>
      <c r="C29" s="5" t="inlineStr">
        <is>
          <t>P1-C5</t>
        </is>
      </c>
      <c r="D29" s="7" t="inlineStr">
        <is>
          <t>Em que medida Onboarding e Treinamento de Desenvolvedores (hands-on curriculum &amp; kata) foi adotado entre as equipes?</t>
        </is>
      </c>
      <c r="E29" s="5" t="n">
        <v>1</v>
      </c>
      <c r="F29" s="8" t="n"/>
      <c r="G29" s="9" t="n"/>
    </row>
    <row r="30">
      <c r="A30" s="5" t="inlineStr">
        <is>
          <t>P1-C5-Q5</t>
        </is>
      </c>
      <c r="B30" s="5" t="inlineStr">
        <is>
          <t>P1</t>
        </is>
      </c>
      <c r="C30" s="5" t="inlineStr">
        <is>
          <t>P1-C5</t>
        </is>
      </c>
      <c r="D30" s="7" t="inlineStr">
        <is>
          <t>Em que medida Onboarding e Treinamento de Desenvolvedores (shadow on-call rotation) foi adotado entre as equipes?</t>
        </is>
      </c>
      <c r="E30" s="5" t="n">
        <v>1</v>
      </c>
      <c r="F30" s="8" t="n"/>
      <c r="G30" s="9" t="n"/>
    </row>
    <row r="31">
      <c r="A31" s="5" t="inlineStr">
        <is>
          <t>P1-C5-Q6</t>
        </is>
      </c>
      <c r="B31" s="5" t="inlineStr">
        <is>
          <t>P1</t>
        </is>
      </c>
      <c r="C31" s="5" t="inlineStr">
        <is>
          <t>P1-C5</t>
        </is>
      </c>
      <c r="D31" s="7" t="inlineStr">
        <is>
          <t>Em que medida Onboarding e Treinamento de Desenvolvedores (onboarding feedback loop) foi adotado entre as equipes?</t>
        </is>
      </c>
      <c r="E31" s="5" t="n">
        <v>1</v>
      </c>
      <c r="F31" s="8" t="n"/>
      <c r="G31" s="9" t="n"/>
    </row>
    <row r="32">
      <c r="A32" s="5" t="inlineStr">
        <is>
          <t>P1-C5-Q7</t>
        </is>
      </c>
      <c r="B32" s="5" t="inlineStr">
        <is>
          <t>P1</t>
        </is>
      </c>
      <c r="C32" s="5" t="inlineStr">
        <is>
          <t>P1-C5</t>
        </is>
      </c>
      <c r="D32" s="7" t="inlineStr">
        <is>
          <t>Em que medida Onboarding e Treinamento de Desenvolvedores (ramp-time measurement) foi adotado entre as equipes?</t>
        </is>
      </c>
      <c r="E32" s="5" t="n">
        <v>1</v>
      </c>
      <c r="F32" s="8" t="n"/>
      <c r="G32" s="9" t="n"/>
    </row>
    <row r="33">
      <c r="A33" s="5" t="inlineStr">
        <is>
          <t>P1-C6-Q1</t>
        </is>
      </c>
      <c r="B33" s="5" t="inlineStr">
        <is>
          <t>P1</t>
        </is>
      </c>
      <c r="C33" s="5" t="inlineStr">
        <is>
          <t>P1-C6</t>
        </is>
      </c>
      <c r="D33" s="7" t="inlineStr">
        <is>
          <t>Em que medida Inner Source e Colaboração (internal repos with open contribution) foi adotado entre as equipes?</t>
        </is>
      </c>
      <c r="E33" s="5" t="n">
        <v>1</v>
      </c>
      <c r="F33" s="8" t="n"/>
      <c r="G33" s="9" t="n"/>
    </row>
    <row r="34">
      <c r="A34" s="5" t="inlineStr">
        <is>
          <t>P1-C6-Q2</t>
        </is>
      </c>
      <c r="B34" s="5" t="inlineStr">
        <is>
          <t>P1</t>
        </is>
      </c>
      <c r="C34" s="5" t="inlineStr">
        <is>
          <t>P1-C6</t>
        </is>
      </c>
      <c r="D34" s="7" t="inlineStr">
        <is>
          <t>Em que medida Inner Source e Colaboração (CONTRIBUTING.md standards) foi adotado entre as equipes?</t>
        </is>
      </c>
      <c r="E34" s="5" t="n">
        <v>1</v>
      </c>
      <c r="F34" s="8" t="n"/>
      <c r="G34" s="9" t="n"/>
    </row>
    <row r="35">
      <c r="A35" s="5" t="inlineStr">
        <is>
          <t>P1-C6-Q3</t>
        </is>
      </c>
      <c r="B35" s="5" t="inlineStr">
        <is>
          <t>P1</t>
        </is>
      </c>
      <c r="C35" s="5" t="inlineStr">
        <is>
          <t>P1-C6</t>
        </is>
      </c>
      <c r="D35" s="7" t="inlineStr">
        <is>
          <t>Em que medida Inner Source e Colaboração (inner-source discovery portal) foi adotado entre as equipes?</t>
        </is>
      </c>
      <c r="E35" s="5" t="n">
        <v>1</v>
      </c>
      <c r="F35" s="8" t="n"/>
      <c r="G35" s="9" t="n"/>
    </row>
    <row r="36">
      <c r="A36" s="5" t="inlineStr">
        <is>
          <t>P1-C6-Q4</t>
        </is>
      </c>
      <c r="B36" s="5" t="inlineStr">
        <is>
          <t>P1</t>
        </is>
      </c>
      <c r="C36" s="5" t="inlineStr">
        <is>
          <t>P1-C6</t>
        </is>
      </c>
      <c r="D36" s="7" t="inlineStr">
        <is>
          <t>Em que medida Inner Source e Colaboração (good-first-issue labeling) foi adotado entre as equipes?</t>
        </is>
      </c>
      <c r="E36" s="5" t="n">
        <v>1</v>
      </c>
      <c r="F36" s="8" t="n"/>
      <c r="G36" s="9" t="n"/>
    </row>
    <row r="37">
      <c r="A37" s="5" t="inlineStr">
        <is>
          <t>P1-C6-Q5</t>
        </is>
      </c>
      <c r="B37" s="5" t="inlineStr">
        <is>
          <t>P1</t>
        </is>
      </c>
      <c r="C37" s="5" t="inlineStr">
        <is>
          <t>P1-C6</t>
        </is>
      </c>
      <c r="D37" s="7" t="inlineStr">
        <is>
          <t>Em que medida Inner Source e Colaboração (cross-team design reviews) foi adotado entre as equipes?</t>
        </is>
      </c>
      <c r="E37" s="5" t="n">
        <v>1</v>
      </c>
      <c r="F37" s="8" t="n"/>
      <c r="G37" s="9" t="n"/>
    </row>
    <row r="38">
      <c r="A38" s="5" t="inlineStr">
        <is>
          <t>P1-C6-Q6</t>
        </is>
      </c>
      <c r="B38" s="5" t="inlineStr">
        <is>
          <t>P1</t>
        </is>
      </c>
      <c r="C38" s="5" t="inlineStr">
        <is>
          <t>P1-C6</t>
        </is>
      </c>
      <c r="D38" s="7" t="inlineStr">
        <is>
          <t>Em que medida Inner Source e Colaboração (community of practice) foi adotado entre as equipes?</t>
        </is>
      </c>
      <c r="E38" s="5" t="n">
        <v>1</v>
      </c>
      <c r="F38" s="8" t="n"/>
      <c r="G38" s="9" t="n"/>
    </row>
    <row r="39">
      <c r="A39" s="5" t="inlineStr">
        <is>
          <t>P1-C7-Q1</t>
        </is>
      </c>
      <c r="B39" s="5" t="inlineStr">
        <is>
          <t>P1</t>
        </is>
      </c>
      <c r="C39" s="5" t="inlineStr">
        <is>
          <t>P1-C7</t>
        </is>
      </c>
      <c r="D39" s="7" t="inlineStr">
        <is>
          <t>Em que medida Automação de Documentação (docs-as-code in Git) foi adotado entre as equipes?</t>
        </is>
      </c>
      <c r="E39" s="5" t="n">
        <v>1</v>
      </c>
      <c r="F39" s="8" t="n"/>
      <c r="G39" s="9" t="n"/>
    </row>
    <row r="40">
      <c r="A40" s="5" t="inlineStr">
        <is>
          <t>P1-C7-Q2</t>
        </is>
      </c>
      <c r="B40" s="5" t="inlineStr">
        <is>
          <t>P1</t>
        </is>
      </c>
      <c r="C40" s="5" t="inlineStr">
        <is>
          <t>P1-C7</t>
        </is>
      </c>
      <c r="D40" s="7" t="inlineStr">
        <is>
          <t>Em que medida Automação de Documentação (auto-generated API reference) foi adotado entre as equipes?</t>
        </is>
      </c>
      <c r="E40" s="5" t="n">
        <v>1</v>
      </c>
      <c r="F40" s="8" t="n"/>
      <c r="G40" s="9" t="n"/>
    </row>
    <row r="41">
      <c r="A41" s="5" t="inlineStr">
        <is>
          <t>P1-C7-Q3</t>
        </is>
      </c>
      <c r="B41" s="5" t="inlineStr">
        <is>
          <t>P1</t>
        </is>
      </c>
      <c r="C41" s="5" t="inlineStr">
        <is>
          <t>P1-C7</t>
        </is>
      </c>
      <c r="D41" s="7" t="inlineStr">
        <is>
          <t>Em que medida Automação de Documentação (AI-assisted doc drafting) foi adotado entre as equipes?</t>
        </is>
      </c>
      <c r="E41" s="5" t="n">
        <v>1</v>
      </c>
      <c r="F41" s="8" t="n"/>
      <c r="G41" s="9" t="n"/>
    </row>
    <row r="42">
      <c r="A42" s="5" t="inlineStr">
        <is>
          <t>P1-C7-Q4</t>
        </is>
      </c>
      <c r="B42" s="5" t="inlineStr">
        <is>
          <t>P1</t>
        </is>
      </c>
      <c r="C42" s="5" t="inlineStr">
        <is>
          <t>P1-C7</t>
        </is>
      </c>
      <c r="D42" s="7" t="inlineStr">
        <is>
          <t>Em que medida Automação de Documentação (doc quality linting) foi adotado entre as equipes?</t>
        </is>
      </c>
      <c r="E42" s="5" t="n">
        <v>1</v>
      </c>
      <c r="F42" s="8" t="n"/>
      <c r="G42" s="9" t="n"/>
    </row>
    <row r="43">
      <c r="A43" s="5" t="inlineStr">
        <is>
          <t>P1-C7-Q5</t>
        </is>
      </c>
      <c r="B43" s="5" t="inlineStr">
        <is>
          <t>P1</t>
        </is>
      </c>
      <c r="C43" s="5" t="inlineStr">
        <is>
          <t>P1-C7</t>
        </is>
      </c>
      <c r="D43" s="7" t="inlineStr">
        <is>
          <t>Em que medida Automação de Documentação (docs analytics) foi adotado entre as equipes?</t>
        </is>
      </c>
      <c r="E43" s="5" t="n">
        <v>1</v>
      </c>
      <c r="F43" s="8" t="n"/>
      <c r="G43" s="9" t="n"/>
    </row>
    <row r="44">
      <c r="A44" s="5" t="inlineStr">
        <is>
          <t>P1-C8-Q1</t>
        </is>
      </c>
      <c r="B44" s="5" t="inlineStr">
        <is>
          <t>P1</t>
        </is>
      </c>
      <c r="C44" s="5" t="inlineStr">
        <is>
          <t>P1-C8</t>
        </is>
      </c>
      <c r="D44" s="7" t="inlineStr">
        <is>
          <t>Em que medida Medição de Produtividade do Desenvolvedor (DORA four key metrics) foi adotado entre as equipes?</t>
        </is>
      </c>
      <c r="E44" s="5" t="n">
        <v>1</v>
      </c>
      <c r="F44" s="8" t="n"/>
      <c r="G44" s="9" t="n"/>
    </row>
    <row r="45">
      <c r="A45" s="5" t="inlineStr">
        <is>
          <t>P1-C8-Q2</t>
        </is>
      </c>
      <c r="B45" s="5" t="inlineStr">
        <is>
          <t>P1</t>
        </is>
      </c>
      <c r="C45" s="5" t="inlineStr">
        <is>
          <t>P1-C8</t>
        </is>
      </c>
      <c r="D45" s="7" t="inlineStr">
        <is>
          <t>Em que medida Medição de Produtividade do Desenvolvedor (developer experience surveys) foi adotado entre as equipes?</t>
        </is>
      </c>
      <c r="E45" s="5" t="n">
        <v>1</v>
      </c>
      <c r="F45" s="8" t="n"/>
      <c r="G45" s="9" t="n"/>
    </row>
    <row r="46">
      <c r="A46" s="5" t="inlineStr">
        <is>
          <t>P1-C8-Q3</t>
        </is>
      </c>
      <c r="B46" s="5" t="inlineStr">
        <is>
          <t>P1</t>
        </is>
      </c>
      <c r="C46" s="5" t="inlineStr">
        <is>
          <t>P1-C8</t>
        </is>
      </c>
      <c r="D46" s="7" t="inlineStr">
        <is>
          <t>Em que medida Medição de Produtividade do Desenvolvedor (build/test feedback loop time) foi adotado entre as equipes?</t>
        </is>
      </c>
      <c r="E46" s="5" t="n">
        <v>1</v>
      </c>
      <c r="F46" s="8" t="n"/>
      <c r="G46" s="9" t="n"/>
    </row>
    <row r="47">
      <c r="A47" s="5" t="inlineStr">
        <is>
          <t>P1-C8-Q4</t>
        </is>
      </c>
      <c r="B47" s="5" t="inlineStr">
        <is>
          <t>P1</t>
        </is>
      </c>
      <c r="C47" s="5" t="inlineStr">
        <is>
          <t>P1-C8</t>
        </is>
      </c>
      <c r="D47" s="7" t="inlineStr">
        <is>
          <t>Em que medida Medição de Produtividade do Desenvolvedor (SPACE framework adoption) foi adotado entre as equipes?</t>
        </is>
      </c>
      <c r="E47" s="5" t="n">
        <v>1</v>
      </c>
      <c r="F47" s="8" t="n"/>
      <c r="G47" s="9" t="n"/>
    </row>
    <row r="48">
      <c r="A48" s="5" t="inlineStr">
        <is>
          <t>P1-C8-Q5</t>
        </is>
      </c>
      <c r="B48" s="5" t="inlineStr">
        <is>
          <t>P1</t>
        </is>
      </c>
      <c r="C48" s="5" t="inlineStr">
        <is>
          <t>P1-C8</t>
        </is>
      </c>
      <c r="D48" s="7" t="inlineStr">
        <is>
          <t>Em que medida Medição de Produtividade do Desenvolvedor (flow vs friction dashboards) foi adotado entre as equipes?</t>
        </is>
      </c>
      <c r="E48" s="5" t="n">
        <v>1</v>
      </c>
      <c r="F48" s="8" t="n"/>
      <c r="G48" s="9" t="n"/>
    </row>
    <row r="49">
      <c r="A49" s="5" t="inlineStr">
        <is>
          <t>P1-C8-Q6</t>
        </is>
      </c>
      <c r="B49" s="5" t="inlineStr">
        <is>
          <t>P1</t>
        </is>
      </c>
      <c r="C49" s="5" t="inlineStr">
        <is>
          <t>P1-C8</t>
        </is>
      </c>
      <c r="D49" s="7" t="inlineStr">
        <is>
          <t>Em que medida Medição de Produtividade do Desenvolvedor (quarterly productivity OKRs) foi adotado entre as equipes?</t>
        </is>
      </c>
      <c r="E49" s="5" t="n">
        <v>1</v>
      </c>
      <c r="F49" s="8" t="n"/>
      <c r="G49" s="9" t="n"/>
    </row>
    <row r="50">
      <c r="A50" s="5" t="inlineStr">
        <is>
          <t>P1-C9-Q1</t>
        </is>
      </c>
      <c r="B50" s="5" t="inlineStr">
        <is>
          <t>P1</t>
        </is>
      </c>
      <c r="C50" s="5" t="inlineStr">
        <is>
          <t>P1-C9</t>
        </is>
      </c>
      <c r="D50" s="7" t="inlineStr">
        <is>
          <t>Em que medida Automação de Ambientes e Espaços de Trabalho (reproducible local envs (devcontainers)) foi adotado entre as equipes?</t>
        </is>
      </c>
      <c r="E50" s="5" t="n">
        <v>1</v>
      </c>
      <c r="F50" s="8" t="n"/>
      <c r="G50" s="9" t="n"/>
    </row>
    <row r="51">
      <c r="A51" s="5" t="inlineStr">
        <is>
          <t>P1-C9-Q2</t>
        </is>
      </c>
      <c r="B51" s="5" t="inlineStr">
        <is>
          <t>P1</t>
        </is>
      </c>
      <c r="C51" s="5" t="inlineStr">
        <is>
          <t>P1-C9</t>
        </is>
      </c>
      <c r="D51" s="7" t="inlineStr">
        <is>
          <t>Em que medida Automação de Ambientes e Espaços de Trabalho (cloud workspaces (Codespaces/Gitpod)) foi adotado entre as equipes?</t>
        </is>
      </c>
      <c r="E51" s="5" t="n">
        <v>1</v>
      </c>
      <c r="F51" s="8" t="n"/>
      <c r="G51" s="9" t="n"/>
    </row>
    <row r="52">
      <c r="A52" s="5" t="inlineStr">
        <is>
          <t>P1-C9-Q3</t>
        </is>
      </c>
      <c r="B52" s="5" t="inlineStr">
        <is>
          <t>P1</t>
        </is>
      </c>
      <c r="C52" s="5" t="inlineStr">
        <is>
          <t>P1-C9</t>
        </is>
      </c>
      <c r="D52" s="7" t="inlineStr">
        <is>
          <t>Em que medida Automação de Ambientes e Espaços de Trabalho (tool and SDK version pinning) foi adotado entre as equipes?</t>
        </is>
      </c>
      <c r="E52" s="5" t="n">
        <v>1</v>
      </c>
      <c r="F52" s="8" t="n"/>
      <c r="G52" s="9" t="n"/>
    </row>
    <row r="53">
      <c r="A53" s="5" t="inlineStr">
        <is>
          <t>P1-C9-Q4</t>
        </is>
      </c>
      <c r="B53" s="5" t="inlineStr">
        <is>
          <t>P1</t>
        </is>
      </c>
      <c r="C53" s="5" t="inlineStr">
        <is>
          <t>P1-C9</t>
        </is>
      </c>
      <c r="D53" s="7" t="inlineStr">
        <is>
          <t>Em que medida Automação de Ambientes e Espaços de Trabalho (on-demand test data) foi adotado entre as equipes?</t>
        </is>
      </c>
      <c r="E53" s="5" t="n">
        <v>1</v>
      </c>
      <c r="F53" s="8" t="n"/>
      <c r="G53" s="9" t="n"/>
    </row>
    <row r="54">
      <c r="A54" s="5" t="inlineStr">
        <is>
          <t>P1-C9-Q5</t>
        </is>
      </c>
      <c r="B54" s="5" t="inlineStr">
        <is>
          <t>P1</t>
        </is>
      </c>
      <c r="C54" s="5" t="inlineStr">
        <is>
          <t>P1-C9</t>
        </is>
      </c>
      <c r="D54" s="7" t="inlineStr">
        <is>
          <t>Em que medida Automação de Ambientes e Espaços de Trabalho (workspace telemetry &amp; health) foi adotado entre as equipes?</t>
        </is>
      </c>
      <c r="E54" s="5" t="n">
        <v>1</v>
      </c>
      <c r="F54" s="8" t="n"/>
      <c r="G54" s="9" t="n"/>
    </row>
    <row r="55">
      <c r="A55" s="5" t="inlineStr">
        <is>
          <t>P2-C1-Q1</t>
        </is>
      </c>
      <c r="B55" s="5" t="inlineStr">
        <is>
          <t>P2</t>
        </is>
      </c>
      <c r="C55" s="5" t="inlineStr">
        <is>
          <t>P2-C1</t>
        </is>
      </c>
      <c r="D55" s="7" t="inlineStr">
        <is>
          <t>Quão maduro é seu pipeline CI/CD em termos de automação e integração de IA?</t>
        </is>
      </c>
      <c r="E55" s="5" t="n">
        <v>1</v>
      </c>
      <c r="F55" s="8" t="n"/>
      <c r="G55" s="9" t="n"/>
    </row>
    <row r="56">
      <c r="A56" s="5" t="inlineStr">
        <is>
          <t>P2-C1-Q2</t>
        </is>
      </c>
      <c r="B56" s="5" t="inlineStr">
        <is>
          <t>P2</t>
        </is>
      </c>
      <c r="C56" s="5" t="inlineStr">
        <is>
          <t>P2-C1</t>
        </is>
      </c>
      <c r="D56" s="7" t="inlineStr">
        <is>
          <t>Em que medida Inteligência de Pipeline CI/CD (pipeline-as-code everywhere) foi adotado entre as equipes?</t>
        </is>
      </c>
      <c r="E56" s="5" t="n">
        <v>1</v>
      </c>
      <c r="F56" s="8" t="n"/>
      <c r="G56" s="9" t="n"/>
    </row>
    <row r="57">
      <c r="A57" s="5" t="inlineStr">
        <is>
          <t>P2-C1-Q3</t>
        </is>
      </c>
      <c r="B57" s="5" t="inlineStr">
        <is>
          <t>P2</t>
        </is>
      </c>
      <c r="C57" s="5" t="inlineStr">
        <is>
          <t>P2-C1</t>
        </is>
      </c>
      <c r="D57" s="7" t="inlineStr">
        <is>
          <t>Em que medida Inteligência de Pipeline CI/CD (build caching and artifact reuse) foi adotado entre as equipes?</t>
        </is>
      </c>
      <c r="E57" s="5" t="n">
        <v>1</v>
      </c>
      <c r="F57" s="8" t="n"/>
      <c r="G57" s="9" t="n"/>
    </row>
    <row r="58">
      <c r="A58" s="5" t="inlineStr">
        <is>
          <t>P2-C1-Q4</t>
        </is>
      </c>
      <c r="B58" s="5" t="inlineStr">
        <is>
          <t>P2</t>
        </is>
      </c>
      <c r="C58" s="5" t="inlineStr">
        <is>
          <t>P2-C1</t>
        </is>
      </c>
      <c r="D58" s="7" t="inlineStr">
        <is>
          <t>Em que medida Inteligência de Pipeline CI/CD (trunk-based development) foi adotado entre as equipes?</t>
        </is>
      </c>
      <c r="E58" s="5" t="n">
        <v>1</v>
      </c>
      <c r="F58" s="8" t="n"/>
      <c r="G58" s="9" t="n"/>
    </row>
    <row r="59">
      <c r="A59" s="5" t="inlineStr">
        <is>
          <t>P2-C1-Q5</t>
        </is>
      </c>
      <c r="B59" s="5" t="inlineStr">
        <is>
          <t>P2</t>
        </is>
      </c>
      <c r="C59" s="5" t="inlineStr">
        <is>
          <t>P2-C1</t>
        </is>
      </c>
      <c r="D59" s="7" t="inlineStr">
        <is>
          <t>Em que medida Inteligência de Pipeline CI/CD (deployment frequency) foi adotado entre as equipes?</t>
        </is>
      </c>
      <c r="E59" s="5" t="n">
        <v>1</v>
      </c>
      <c r="F59" s="8" t="n"/>
      <c r="G59" s="9" t="n"/>
    </row>
    <row r="60">
      <c r="A60" s="5" t="inlineStr">
        <is>
          <t>P2-C1-Q6</t>
        </is>
      </c>
      <c r="B60" s="5" t="inlineStr">
        <is>
          <t>P2</t>
        </is>
      </c>
      <c r="C60" s="5" t="inlineStr">
        <is>
          <t>P2-C1</t>
        </is>
      </c>
      <c r="D60" s="7" t="inlineStr">
        <is>
          <t>Em que medida Inteligência de Pipeline CI/CD (feature flags for progressive delivery) foi adotado entre as equipes?</t>
        </is>
      </c>
      <c r="E60" s="5" t="n">
        <v>1</v>
      </c>
      <c r="F60" s="8" t="n"/>
      <c r="G60" s="9" t="n"/>
    </row>
    <row r="61">
      <c r="A61" s="5" t="inlineStr">
        <is>
          <t>P2-C2-Q1</t>
        </is>
      </c>
      <c r="B61" s="5" t="inlineStr">
        <is>
          <t>P2</t>
        </is>
      </c>
      <c r="C61" s="5" t="inlineStr">
        <is>
          <t>P2-C2</t>
        </is>
      </c>
      <c r="D61" s="7" t="inlineStr">
        <is>
          <t>Qual porcentagem de sua infraestrutura é gerenciada por código?</t>
        </is>
      </c>
      <c r="E61" s="5" t="n">
        <v>1</v>
      </c>
      <c r="F61" s="8" t="n"/>
      <c r="G61" s="9" t="n"/>
    </row>
    <row r="62">
      <c r="A62" s="5" t="inlineStr">
        <is>
          <t>P2-C2-Q2</t>
        </is>
      </c>
      <c r="B62" s="5" t="inlineStr">
        <is>
          <t>P2</t>
        </is>
      </c>
      <c r="C62" s="5" t="inlineStr">
        <is>
          <t>P2-C2</t>
        </is>
      </c>
      <c r="D62" s="7" t="inlineStr">
        <is>
          <t>Em que medida Infraestrutura como Código (Terraform/Bicep-based IaC) foi adotado entre as equipes?</t>
        </is>
      </c>
      <c r="E62" s="5" t="n">
        <v>1</v>
      </c>
      <c r="F62" s="8" t="n"/>
      <c r="G62" s="9" t="n"/>
    </row>
    <row r="63">
      <c r="A63" s="5" t="inlineStr">
        <is>
          <t>P2-C2-Q3</t>
        </is>
      </c>
      <c r="B63" s="5" t="inlineStr">
        <is>
          <t>P2</t>
        </is>
      </c>
      <c r="C63" s="5" t="inlineStr">
        <is>
          <t>P2-C2</t>
        </is>
      </c>
      <c r="D63" s="7" t="inlineStr">
        <is>
          <t>Em que medida Infraestrutura como Código (module and pattern library) foi adotado entre as equipes?</t>
        </is>
      </c>
      <c r="E63" s="5" t="n">
        <v>1</v>
      </c>
      <c r="F63" s="8" t="n"/>
      <c r="G63" s="9" t="n"/>
    </row>
    <row r="64">
      <c r="A64" s="5" t="inlineStr">
        <is>
          <t>P2-C2-Q4</t>
        </is>
      </c>
      <c r="B64" s="5" t="inlineStr">
        <is>
          <t>P2</t>
        </is>
      </c>
      <c r="C64" s="5" t="inlineStr">
        <is>
          <t>P2-C2</t>
        </is>
      </c>
      <c r="D64" s="7" t="inlineStr">
        <is>
          <t>Em que medida Infraestrutura como Código (GitOps for config drift) foi adotado entre as equipes?</t>
        </is>
      </c>
      <c r="E64" s="5" t="n">
        <v>1</v>
      </c>
      <c r="F64" s="8" t="n"/>
      <c r="G64" s="9" t="n"/>
    </row>
    <row r="65">
      <c r="A65" s="5" t="inlineStr">
        <is>
          <t>P2-C2-Q5</t>
        </is>
      </c>
      <c r="B65" s="5" t="inlineStr">
        <is>
          <t>P2</t>
        </is>
      </c>
      <c r="C65" s="5" t="inlineStr">
        <is>
          <t>P2-C2</t>
        </is>
      </c>
      <c r="D65" s="7" t="inlineStr">
        <is>
          <t>Em que medida Infraestrutura como Código (policy-as-code (OPA/Conftest)) foi adotado entre as equipes?</t>
        </is>
      </c>
      <c r="E65" s="5" t="n">
        <v>1</v>
      </c>
      <c r="F65" s="8" t="n"/>
      <c r="G65" s="9" t="n"/>
    </row>
    <row r="66">
      <c r="A66" s="5" t="inlineStr">
        <is>
          <t>P2-C2-Q6</t>
        </is>
      </c>
      <c r="B66" s="5" t="inlineStr">
        <is>
          <t>P2</t>
        </is>
      </c>
      <c r="C66" s="5" t="inlineStr">
        <is>
          <t>P2-C2</t>
        </is>
      </c>
      <c r="D66" s="7" t="inlineStr">
        <is>
          <t>Em que medida Infraestrutura como Código (ephemeral environment per PR) foi adotado entre as equipes?</t>
        </is>
      </c>
      <c r="E66" s="5" t="n">
        <v>1</v>
      </c>
      <c r="F66" s="8" t="n"/>
      <c r="G66" s="9" t="n"/>
    </row>
    <row r="67">
      <c r="A67" s="5" t="inlineStr">
        <is>
          <t>P2-C3-Q1</t>
        </is>
      </c>
      <c r="B67" s="5" t="inlineStr">
        <is>
          <t>P2</t>
        </is>
      </c>
      <c r="C67" s="5" t="inlineStr">
        <is>
          <t>P2-C3</t>
        </is>
      </c>
      <c r="D67" s="7" t="inlineStr">
        <is>
          <t>Quão abrangente é sua stack de observabilidade (logs, métricas, traces)?</t>
        </is>
      </c>
      <c r="E67" s="5" t="n">
        <v>1</v>
      </c>
      <c r="F67" s="8" t="n"/>
      <c r="G67" s="9" t="n"/>
    </row>
    <row r="68">
      <c r="A68" s="5" t="inlineStr">
        <is>
          <t>P2-C3-Q2</t>
        </is>
      </c>
      <c r="B68" s="5" t="inlineStr">
        <is>
          <t>P2</t>
        </is>
      </c>
      <c r="C68" s="5" t="inlineStr">
        <is>
          <t>P2-C3</t>
        </is>
      </c>
      <c r="D68" s="7" t="inlineStr">
        <is>
          <t>Em que medida Observabilidade e Monitoramento (structured logging w/ correlation IDs) foi adotado entre as equipes?</t>
        </is>
      </c>
      <c r="E68" s="5" t="n">
        <v>1</v>
      </c>
      <c r="F68" s="8" t="n"/>
      <c r="G68" s="9" t="n"/>
    </row>
    <row r="69">
      <c r="A69" s="5" t="inlineStr">
        <is>
          <t>P2-C3-Q3</t>
        </is>
      </c>
      <c r="B69" s="5" t="inlineStr">
        <is>
          <t>P2</t>
        </is>
      </c>
      <c r="C69" s="5" t="inlineStr">
        <is>
          <t>P2-C3</t>
        </is>
      </c>
      <c r="D69" s="7" t="inlineStr">
        <is>
          <t>Em que medida Observabilidade e Monitoramento (distributed tracing (OpenTelemetry)) foi adotado entre as equipes?</t>
        </is>
      </c>
      <c r="E69" s="5" t="n">
        <v>1</v>
      </c>
      <c r="F69" s="8" t="n"/>
      <c r="G69" s="9" t="n"/>
    </row>
    <row r="70">
      <c r="A70" s="5" t="inlineStr">
        <is>
          <t>P2-C3-Q4</t>
        </is>
      </c>
      <c r="B70" s="5" t="inlineStr">
        <is>
          <t>P2</t>
        </is>
      </c>
      <c r="C70" s="5" t="inlineStr">
        <is>
          <t>P2-C3</t>
        </is>
      </c>
      <c r="D70" s="7" t="inlineStr">
        <is>
          <t>Em que medida Observabilidade e Monitoramento (SLOs and error budgets) foi adotado entre as equipes?</t>
        </is>
      </c>
      <c r="E70" s="5" t="n">
        <v>1</v>
      </c>
      <c r="F70" s="8" t="n"/>
      <c r="G70" s="9" t="n"/>
    </row>
    <row r="71">
      <c r="A71" s="5" t="inlineStr">
        <is>
          <t>P2-C3-Q5</t>
        </is>
      </c>
      <c r="B71" s="5" t="inlineStr">
        <is>
          <t>P2</t>
        </is>
      </c>
      <c r="C71" s="5" t="inlineStr">
        <is>
          <t>P2-C3</t>
        </is>
      </c>
      <c r="D71" s="7" t="inlineStr">
        <is>
          <t>Em que medida Observabilidade e Monitoramento (synthetic monitoring) foi adotado entre as equipes?</t>
        </is>
      </c>
      <c r="E71" s="5" t="n">
        <v>1</v>
      </c>
      <c r="F71" s="8" t="n"/>
      <c r="G71" s="9" t="n"/>
    </row>
    <row r="72">
      <c r="A72" s="5" t="inlineStr">
        <is>
          <t>P2-C3-Q6</t>
        </is>
      </c>
      <c r="B72" s="5" t="inlineStr">
        <is>
          <t>P2</t>
        </is>
      </c>
      <c r="C72" s="5" t="inlineStr">
        <is>
          <t>P2-C3</t>
        </is>
      </c>
      <c r="D72" s="7" t="inlineStr">
        <is>
          <t>Em que medida Observabilidade e Monitoramento (anomaly detection with ML) foi adotado entre as equipes?</t>
        </is>
      </c>
      <c r="E72" s="5" t="n">
        <v>1</v>
      </c>
      <c r="F72" s="8" t="n"/>
      <c r="G72" s="9" t="n"/>
    </row>
    <row r="73">
      <c r="A73" s="5" t="inlineStr">
        <is>
          <t>P2-C4-Q1</t>
        </is>
      </c>
      <c r="B73" s="5" t="inlineStr">
        <is>
          <t>P2</t>
        </is>
      </c>
      <c r="C73" s="5" t="inlineStr">
        <is>
          <t>P2-C4</t>
        </is>
      </c>
      <c r="D73" s="7" t="inlineStr">
        <is>
          <t>Quão integrada está a segurança no seu pipeline de desenvolvimento e implantação?</t>
        </is>
      </c>
      <c r="E73" s="5" t="n">
        <v>1</v>
      </c>
      <c r="F73" s="8" t="n"/>
      <c r="G73" s="9" t="n"/>
    </row>
    <row r="74">
      <c r="A74" s="5" t="inlineStr">
        <is>
          <t>P2-C4-Q2</t>
        </is>
      </c>
      <c r="B74" s="5" t="inlineStr">
        <is>
          <t>P2</t>
        </is>
      </c>
      <c r="C74" s="5" t="inlineStr">
        <is>
          <t>P2-C4</t>
        </is>
      </c>
      <c r="D74" s="7" t="inlineStr">
        <is>
          <t>Em que medida Integração de Segurança (DevSecOps) (SAST in every pipeline) foi adotado entre as equipes?</t>
        </is>
      </c>
      <c r="E74" s="5" t="n">
        <v>1</v>
      </c>
      <c r="F74" s="8" t="n"/>
      <c r="G74" s="9" t="n"/>
    </row>
    <row r="75">
      <c r="A75" s="5" t="inlineStr">
        <is>
          <t>P2-C4-Q3</t>
        </is>
      </c>
      <c r="B75" s="5" t="inlineStr">
        <is>
          <t>P2</t>
        </is>
      </c>
      <c r="C75" s="5" t="inlineStr">
        <is>
          <t>P2-C4</t>
        </is>
      </c>
      <c r="D75" s="7" t="inlineStr">
        <is>
          <t>Em que medida Integração de Segurança (DevSecOps) (SCA and dependency review) foi adotado entre as equipes?</t>
        </is>
      </c>
      <c r="E75" s="5" t="n">
        <v>1</v>
      </c>
      <c r="F75" s="8" t="n"/>
      <c r="G75" s="9" t="n"/>
    </row>
    <row r="76">
      <c r="A76" s="5" t="inlineStr">
        <is>
          <t>P2-C4-Q4</t>
        </is>
      </c>
      <c r="B76" s="5" t="inlineStr">
        <is>
          <t>P2</t>
        </is>
      </c>
      <c r="C76" s="5" t="inlineStr">
        <is>
          <t>P2-C4</t>
        </is>
      </c>
      <c r="D76" s="7" t="inlineStr">
        <is>
          <t>Em que medida Integração de Segurança (DevSecOps) (secret scanning and push protection) foi adotado entre as equipes?</t>
        </is>
      </c>
      <c r="E76" s="5" t="n">
        <v>1</v>
      </c>
      <c r="F76" s="8" t="n"/>
      <c r="G76" s="9" t="n"/>
    </row>
    <row r="77">
      <c r="A77" s="5" t="inlineStr">
        <is>
          <t>P2-C4-Q5</t>
        </is>
      </c>
      <c r="B77" s="5" t="inlineStr">
        <is>
          <t>P2</t>
        </is>
      </c>
      <c r="C77" s="5" t="inlineStr">
        <is>
          <t>P2-C4</t>
        </is>
      </c>
      <c r="D77" s="7" t="inlineStr">
        <is>
          <t>Em que medida Integração de Segurança (DevSecOps) (DAST and API security testing) foi adotado entre as equipes?</t>
        </is>
      </c>
      <c r="E77" s="5" t="n">
        <v>1</v>
      </c>
      <c r="F77" s="8" t="n"/>
      <c r="G77" s="9" t="n"/>
    </row>
    <row r="78">
      <c r="A78" s="5" t="inlineStr">
        <is>
          <t>P2-C4-Q6</t>
        </is>
      </c>
      <c r="B78" s="5" t="inlineStr">
        <is>
          <t>P2</t>
        </is>
      </c>
      <c r="C78" s="5" t="inlineStr">
        <is>
          <t>P2-C4</t>
        </is>
      </c>
      <c r="D78" s="7" t="inlineStr">
        <is>
          <t>Em que medida Integração de Segurança (DevSecOps) (security champions program) foi adotado entre as equipes?</t>
        </is>
      </c>
      <c r="E78" s="5" t="n">
        <v>1</v>
      </c>
      <c r="F78" s="8" t="n"/>
      <c r="G78" s="9" t="n"/>
    </row>
    <row r="79">
      <c r="A79" s="5" t="inlineStr">
        <is>
          <t>P2-C5-Q1</t>
        </is>
      </c>
      <c r="B79" s="5" t="inlineStr">
        <is>
          <t>P2</t>
        </is>
      </c>
      <c r="C79" s="5" t="inlineStr">
        <is>
          <t>P2-C5</t>
        </is>
      </c>
      <c r="D79" s="7" t="inlineStr">
        <is>
          <t>Em que medida Estratégias de Release e Implantação (blue/green or canary deploys) foi adotado entre as equipes?</t>
        </is>
      </c>
      <c r="E79" s="5" t="n">
        <v>1</v>
      </c>
      <c r="F79" s="8" t="n"/>
      <c r="G79" s="9" t="n"/>
    </row>
    <row r="80">
      <c r="A80" s="5" t="inlineStr">
        <is>
          <t>P2-C5-Q2</t>
        </is>
      </c>
      <c r="B80" s="5" t="inlineStr">
        <is>
          <t>P2</t>
        </is>
      </c>
      <c r="C80" s="5" t="inlineStr">
        <is>
          <t>P2-C5</t>
        </is>
      </c>
      <c r="D80" s="7" t="inlineStr">
        <is>
          <t>Em que medida Estratégias de Release e Implantação (automated rollback) foi adotado entre as equipes?</t>
        </is>
      </c>
      <c r="E80" s="5" t="n">
        <v>1</v>
      </c>
      <c r="F80" s="8" t="n"/>
      <c r="G80" s="9" t="n"/>
    </row>
    <row r="81">
      <c r="A81" s="5" t="inlineStr">
        <is>
          <t>P2-C5-Q3</t>
        </is>
      </c>
      <c r="B81" s="5" t="inlineStr">
        <is>
          <t>P2</t>
        </is>
      </c>
      <c r="C81" s="5" t="inlineStr">
        <is>
          <t>P2-C5</t>
        </is>
      </c>
      <c r="D81" s="7" t="inlineStr">
        <is>
          <t>Em que medida Estratégias de Release e Implantação (feature flag platform) foi adotado entre as equipes?</t>
        </is>
      </c>
      <c r="E81" s="5" t="n">
        <v>1</v>
      </c>
      <c r="F81" s="8" t="n"/>
      <c r="G81" s="9" t="n"/>
    </row>
    <row r="82">
      <c r="A82" s="5" t="inlineStr">
        <is>
          <t>P2-C5-Q4</t>
        </is>
      </c>
      <c r="B82" s="5" t="inlineStr">
        <is>
          <t>P2</t>
        </is>
      </c>
      <c r="C82" s="5" t="inlineStr">
        <is>
          <t>P2-C5</t>
        </is>
      </c>
      <c r="D82" s="7" t="inlineStr">
        <is>
          <t>Em que medida Estratégias de Release e Implantação (release coordination via ChatOps) foi adotado entre as equipes?</t>
        </is>
      </c>
      <c r="E82" s="5" t="n">
        <v>1</v>
      </c>
      <c r="F82" s="8" t="n"/>
      <c r="G82" s="9" t="n"/>
    </row>
    <row r="83">
      <c r="A83" s="5" t="inlineStr">
        <is>
          <t>P2-C5-Q5</t>
        </is>
      </c>
      <c r="B83" s="5" t="inlineStr">
        <is>
          <t>P2</t>
        </is>
      </c>
      <c r="C83" s="5" t="inlineStr">
        <is>
          <t>P2-C5</t>
        </is>
      </c>
      <c r="D83" s="7" t="inlineStr">
        <is>
          <t>Em que medida Estratégias de Release e Implantação (progressive delivery across regions) foi adotado entre as equipes?</t>
        </is>
      </c>
      <c r="E83" s="5" t="n">
        <v>1</v>
      </c>
      <c r="F83" s="8" t="n"/>
      <c r="G83" s="9" t="n"/>
    </row>
    <row r="84">
      <c r="A84" s="5" t="inlineStr">
        <is>
          <t>P2-C5-Q6</t>
        </is>
      </c>
      <c r="B84" s="5" t="inlineStr">
        <is>
          <t>P2</t>
        </is>
      </c>
      <c r="C84" s="5" t="inlineStr">
        <is>
          <t>P2-C5</t>
        </is>
      </c>
      <c r="D84" s="7" t="inlineStr">
        <is>
          <t>Em que medida Estratégias de Release e Implantação (release metrics dashboard) foi adotado entre as equipes?</t>
        </is>
      </c>
      <c r="E84" s="5" t="n">
        <v>1</v>
      </c>
      <c r="F84" s="8" t="n"/>
      <c r="G84" s="9" t="n"/>
    </row>
    <row r="85">
      <c r="A85" s="5" t="inlineStr">
        <is>
          <t>P2-C6-Q1</t>
        </is>
      </c>
      <c r="B85" s="5" t="inlineStr">
        <is>
          <t>P2</t>
        </is>
      </c>
      <c r="C85" s="5" t="inlineStr">
        <is>
          <t>P2-C6</t>
        </is>
      </c>
      <c r="D85" s="7" t="inlineStr">
        <is>
          <t>Em que medida Automação de Testes (unit test coverage targets) foi adotado entre as equipes?</t>
        </is>
      </c>
      <c r="E85" s="5" t="n">
        <v>1</v>
      </c>
      <c r="F85" s="8" t="n"/>
      <c r="G85" s="9" t="n"/>
    </row>
    <row r="86">
      <c r="A86" s="5" t="inlineStr">
        <is>
          <t>P2-C6-Q2</t>
        </is>
      </c>
      <c r="B86" s="5" t="inlineStr">
        <is>
          <t>P2</t>
        </is>
      </c>
      <c r="C86" s="5" t="inlineStr">
        <is>
          <t>P2-C6</t>
        </is>
      </c>
      <c r="D86" s="7" t="inlineStr">
        <is>
          <t>Em que medida Automação de Testes (integration test suites) foi adotado entre as equipes?</t>
        </is>
      </c>
      <c r="E86" s="5" t="n">
        <v>1</v>
      </c>
      <c r="F86" s="8" t="n"/>
      <c r="G86" s="9" t="n"/>
    </row>
    <row r="87">
      <c r="A87" s="5" t="inlineStr">
        <is>
          <t>P2-C6-Q3</t>
        </is>
      </c>
      <c r="B87" s="5" t="inlineStr">
        <is>
          <t>P2</t>
        </is>
      </c>
      <c r="C87" s="5" t="inlineStr">
        <is>
          <t>P2-C6</t>
        </is>
      </c>
      <c r="D87" s="7" t="inlineStr">
        <is>
          <t>Em que medida Automação de Testes (end-to-end / journey tests) foi adotado entre as equipes?</t>
        </is>
      </c>
      <c r="E87" s="5" t="n">
        <v>1</v>
      </c>
      <c r="F87" s="8" t="n"/>
      <c r="G87" s="9" t="n"/>
    </row>
    <row r="88">
      <c r="A88" s="5" t="inlineStr">
        <is>
          <t>P2-C6-Q4</t>
        </is>
      </c>
      <c r="B88" s="5" t="inlineStr">
        <is>
          <t>P2</t>
        </is>
      </c>
      <c r="C88" s="5" t="inlineStr">
        <is>
          <t>P2-C6</t>
        </is>
      </c>
      <c r="D88" s="7" t="inlineStr">
        <is>
          <t>Em que medida Automação de Testes (contract testing) foi adotado entre as equipes?</t>
        </is>
      </c>
      <c r="E88" s="5" t="n">
        <v>1</v>
      </c>
      <c r="F88" s="8" t="n"/>
      <c r="G88" s="9" t="n"/>
    </row>
    <row r="89">
      <c r="A89" s="5" t="inlineStr">
        <is>
          <t>P2-C6-Q5</t>
        </is>
      </c>
      <c r="B89" s="5" t="inlineStr">
        <is>
          <t>P2</t>
        </is>
      </c>
      <c r="C89" s="5" t="inlineStr">
        <is>
          <t>P2-C6</t>
        </is>
      </c>
      <c r="D89" s="7" t="inlineStr">
        <is>
          <t>Em que medida Automação de Testes (AI-assisted test generation) foi adotado entre as equipes?</t>
        </is>
      </c>
      <c r="E89" s="5" t="n">
        <v>1</v>
      </c>
      <c r="F89" s="8" t="n"/>
      <c r="G89" s="9" t="n"/>
    </row>
    <row r="90">
      <c r="A90" s="5" t="inlineStr">
        <is>
          <t>P2-C6-Q6</t>
        </is>
      </c>
      <c r="B90" s="5" t="inlineStr">
        <is>
          <t>P2</t>
        </is>
      </c>
      <c r="C90" s="5" t="inlineStr">
        <is>
          <t>P2-C6</t>
        </is>
      </c>
      <c r="D90" s="7" t="inlineStr">
        <is>
          <t>Em que medida Automação de Testes (flaky-test detection &amp; quarantine) foi adotado entre as equipes?</t>
        </is>
      </c>
      <c r="E90" s="5" t="n">
        <v>1</v>
      </c>
      <c r="F90" s="8" t="n"/>
      <c r="G90" s="9" t="n"/>
    </row>
    <row r="91">
      <c r="A91" s="5" t="inlineStr">
        <is>
          <t>P2-C6-Q7</t>
        </is>
      </c>
      <c r="B91" s="5" t="inlineStr">
        <is>
          <t>P2</t>
        </is>
      </c>
      <c r="C91" s="5" t="inlineStr">
        <is>
          <t>P2-C6</t>
        </is>
      </c>
      <c r="D91" s="7" t="inlineStr">
        <is>
          <t>Em que medida Automação de Testes (mutation testing) foi adotado entre as equipes?</t>
        </is>
      </c>
      <c r="E91" s="5" t="n">
        <v>1</v>
      </c>
      <c r="F91" s="8" t="n"/>
      <c r="G91" s="9" t="n"/>
    </row>
    <row r="92">
      <c r="A92" s="5" t="inlineStr">
        <is>
          <t>P2-C7-Q1</t>
        </is>
      </c>
      <c r="B92" s="5" t="inlineStr">
        <is>
          <t>P2</t>
        </is>
      </c>
      <c r="C92" s="5" t="inlineStr">
        <is>
          <t>P2-C7</t>
        </is>
      </c>
      <c r="D92" s="7" t="inlineStr">
        <is>
          <t>Em que medida Gestão de Incidentes e SRE (on-call rotation with tooling) foi adotado entre as equipes?</t>
        </is>
      </c>
      <c r="E92" s="5" t="n">
        <v>1</v>
      </c>
      <c r="F92" s="8" t="n"/>
      <c r="G92" s="9" t="n"/>
    </row>
    <row r="93">
      <c r="A93" s="5" t="inlineStr">
        <is>
          <t>P2-C7-Q2</t>
        </is>
      </c>
      <c r="B93" s="5" t="inlineStr">
        <is>
          <t>P2</t>
        </is>
      </c>
      <c r="C93" s="5" t="inlineStr">
        <is>
          <t>P2-C7</t>
        </is>
      </c>
      <c r="D93" s="7" t="inlineStr">
        <is>
          <t>Em que medida Gestão de Incidentes e SRE (blameless postmortems) foi adotado entre as equipes?</t>
        </is>
      </c>
      <c r="E93" s="5" t="n">
        <v>1</v>
      </c>
      <c r="F93" s="8" t="n"/>
      <c r="G93" s="9" t="n"/>
    </row>
    <row r="94">
      <c r="A94" s="5" t="inlineStr">
        <is>
          <t>P2-C7-Q3</t>
        </is>
      </c>
      <c r="B94" s="5" t="inlineStr">
        <is>
          <t>P2</t>
        </is>
      </c>
      <c r="C94" s="5" t="inlineStr">
        <is>
          <t>P2-C7</t>
        </is>
      </c>
      <c r="D94" s="7" t="inlineStr">
        <is>
          <t>Em que medida Gestão de Incidentes e SRE (error budget policy) foi adotado entre as equipes?</t>
        </is>
      </c>
      <c r="E94" s="5" t="n">
        <v>1</v>
      </c>
      <c r="F94" s="8" t="n"/>
      <c r="G94" s="9" t="n"/>
    </row>
    <row r="95">
      <c r="A95" s="5" t="inlineStr">
        <is>
          <t>P2-C7-Q4</t>
        </is>
      </c>
      <c r="B95" s="5" t="inlineStr">
        <is>
          <t>P2</t>
        </is>
      </c>
      <c r="C95" s="5" t="inlineStr">
        <is>
          <t>P2-C7</t>
        </is>
      </c>
      <c r="D95" s="7" t="inlineStr">
        <is>
          <t>Em que medida Gestão de Incidentes e SRE (chaos engineering) foi adotado entre as equipes?</t>
        </is>
      </c>
      <c r="E95" s="5" t="n">
        <v>1</v>
      </c>
      <c r="F95" s="8" t="n"/>
      <c r="G95" s="9" t="n"/>
    </row>
    <row r="96">
      <c r="A96" s="5" t="inlineStr">
        <is>
          <t>P2-C7-Q5</t>
        </is>
      </c>
      <c r="B96" s="5" t="inlineStr">
        <is>
          <t>P2</t>
        </is>
      </c>
      <c r="C96" s="5" t="inlineStr">
        <is>
          <t>P2-C7</t>
        </is>
      </c>
      <c r="D96" s="7" t="inlineStr">
        <is>
          <t>Em que medida Gestão de Incidentes e SRE (incident commander role) foi adotado entre as equipes?</t>
        </is>
      </c>
      <c r="E96" s="5" t="n">
        <v>1</v>
      </c>
      <c r="F96" s="8" t="n"/>
      <c r="G96" s="9" t="n"/>
    </row>
    <row r="97">
      <c r="A97" s="5" t="inlineStr">
        <is>
          <t>P2-C7-Q6</t>
        </is>
      </c>
      <c r="B97" s="5" t="inlineStr">
        <is>
          <t>P2</t>
        </is>
      </c>
      <c r="C97" s="5" t="inlineStr">
        <is>
          <t>P2-C7</t>
        </is>
      </c>
      <c r="D97" s="7" t="inlineStr">
        <is>
          <t>Em que medida Gestão de Incidentes e SRE (SRE-dev partnership model) foi adotado entre as equipes?</t>
        </is>
      </c>
      <c r="E97" s="5" t="n">
        <v>1</v>
      </c>
      <c r="F97" s="8" t="n"/>
      <c r="G97" s="9" t="n"/>
    </row>
    <row r="98">
      <c r="A98" s="5" t="inlineStr">
        <is>
          <t>P2-C7-Q7</t>
        </is>
      </c>
      <c r="B98" s="5" t="inlineStr">
        <is>
          <t>P2</t>
        </is>
      </c>
      <c r="C98" s="5" t="inlineStr">
        <is>
          <t>P2-C7</t>
        </is>
      </c>
      <c r="D98" s="7" t="inlineStr">
        <is>
          <t>Em que medida Gestão de Incidentes e SRE (runbook automation) foi adotado entre as equipes?</t>
        </is>
      </c>
      <c r="E98" s="5" t="n">
        <v>1</v>
      </c>
      <c r="F98" s="8" t="n"/>
      <c r="G98" s="9" t="n"/>
    </row>
    <row r="99">
      <c r="A99" s="5" t="inlineStr">
        <is>
          <t>P2-C8-Q1</t>
        </is>
      </c>
      <c r="B99" s="5" t="inlineStr">
        <is>
          <t>P2</t>
        </is>
      </c>
      <c r="C99" s="5" t="inlineStr">
        <is>
          <t>P2-C8</t>
        </is>
      </c>
      <c r="D99" s="7" t="inlineStr">
        <is>
          <t>Em que medida Gestão de Artefatos e Pacotes (internal package registry) foi adotado entre as equipes?</t>
        </is>
      </c>
      <c r="E99" s="5" t="n">
        <v>1</v>
      </c>
      <c r="F99" s="8" t="n"/>
      <c r="G99" s="9" t="n"/>
    </row>
    <row r="100">
      <c r="A100" s="5" t="inlineStr">
        <is>
          <t>P2-C8-Q2</t>
        </is>
      </c>
      <c r="B100" s="5" t="inlineStr">
        <is>
          <t>P2</t>
        </is>
      </c>
      <c r="C100" s="5" t="inlineStr">
        <is>
          <t>P2-C8</t>
        </is>
      </c>
      <c r="D100" s="7" t="inlineStr">
        <is>
          <t>Em que medida Gestão de Artefatos e Pacotes (SBOM for every build) foi adotado entre as equipes?</t>
        </is>
      </c>
      <c r="E100" s="5" t="n">
        <v>1</v>
      </c>
      <c r="F100" s="8" t="n"/>
      <c r="G100" s="9" t="n"/>
    </row>
    <row r="101">
      <c r="A101" s="5" t="inlineStr">
        <is>
          <t>P2-C8-Q3</t>
        </is>
      </c>
      <c r="B101" s="5" t="inlineStr">
        <is>
          <t>P2</t>
        </is>
      </c>
      <c r="C101" s="5" t="inlineStr">
        <is>
          <t>P2-C8</t>
        </is>
      </c>
      <c r="D101" s="7" t="inlineStr">
        <is>
          <t>Em que medida Gestão de Artefatos e Pacotes (artifact signing (SLSA)) foi adotado entre as equipes?</t>
        </is>
      </c>
      <c r="E101" s="5" t="n">
        <v>1</v>
      </c>
      <c r="F101" s="8" t="n"/>
      <c r="G101" s="9" t="n"/>
    </row>
    <row r="102">
      <c r="A102" s="5" t="inlineStr">
        <is>
          <t>P2-C8-Q4</t>
        </is>
      </c>
      <c r="B102" s="5" t="inlineStr">
        <is>
          <t>P2</t>
        </is>
      </c>
      <c r="C102" s="5" t="inlineStr">
        <is>
          <t>P2-C8</t>
        </is>
      </c>
      <c r="D102" s="7" t="inlineStr">
        <is>
          <t>Em que medida Gestão de Artefatos e Pacotes (vulnerability scanning of artifacts) foi adotado entre as equipes?</t>
        </is>
      </c>
      <c r="E102" s="5" t="n">
        <v>1</v>
      </c>
      <c r="F102" s="8" t="n"/>
      <c r="G102" s="9" t="n"/>
    </row>
    <row r="103">
      <c r="A103" s="5" t="inlineStr">
        <is>
          <t>P2-C8-Q5</t>
        </is>
      </c>
      <c r="B103" s="5" t="inlineStr">
        <is>
          <t>P2</t>
        </is>
      </c>
      <c r="C103" s="5" t="inlineStr">
        <is>
          <t>P2-C8</t>
        </is>
      </c>
      <c r="D103" s="7" t="inlineStr">
        <is>
          <t>Em que medida Gestão de Artefatos e Pacotes (retention &amp; promotion policies) foi adotado entre as equipes?</t>
        </is>
      </c>
      <c r="E103" s="5" t="n">
        <v>1</v>
      </c>
      <c r="F103" s="8" t="n"/>
      <c r="G103" s="9" t="n"/>
    </row>
    <row r="104">
      <c r="A104" s="5" t="inlineStr">
        <is>
          <t>P2-C9-Q1</t>
        </is>
      </c>
      <c r="B104" s="5" t="inlineStr">
        <is>
          <t>P2</t>
        </is>
      </c>
      <c r="C104" s="5" t="inlineStr">
        <is>
          <t>P2-C9</t>
        </is>
      </c>
      <c r="D104" s="7" t="inlineStr">
        <is>
          <t>Em que medida Gestão de Mudanças e GitOps (GitOps controllers in prod) foi adotado entre as equipes?</t>
        </is>
      </c>
      <c r="E104" s="5" t="n">
        <v>1</v>
      </c>
      <c r="F104" s="8" t="n"/>
      <c r="G104" s="9" t="n"/>
    </row>
    <row r="105">
      <c r="A105" s="5" t="inlineStr">
        <is>
          <t>P2-C9-Q2</t>
        </is>
      </c>
      <c r="B105" s="5" t="inlineStr">
        <is>
          <t>P2</t>
        </is>
      </c>
      <c r="C105" s="5" t="inlineStr">
        <is>
          <t>P2-C9</t>
        </is>
      </c>
      <c r="D105" s="7" t="inlineStr">
        <is>
          <t>Em que medida Gestão de Mudanças e GitOps (automated change tickets) foi adotado entre as equipes?</t>
        </is>
      </c>
      <c r="E105" s="5" t="n">
        <v>1</v>
      </c>
      <c r="F105" s="8" t="n"/>
      <c r="G105" s="9" t="n"/>
    </row>
    <row r="106">
      <c r="A106" s="5" t="inlineStr">
        <is>
          <t>P2-C9-Q3</t>
        </is>
      </c>
      <c r="B106" s="5" t="inlineStr">
        <is>
          <t>P2</t>
        </is>
      </c>
      <c r="C106" s="5" t="inlineStr">
        <is>
          <t>P2-C9</t>
        </is>
      </c>
      <c r="D106" s="7" t="inlineStr">
        <is>
          <t>Em que medida Gestão de Mudanças e GitOps (approvals in PR (not tickets)) foi adotado entre as equipes?</t>
        </is>
      </c>
      <c r="E106" s="5" t="n">
        <v>1</v>
      </c>
      <c r="F106" s="8" t="n"/>
      <c r="G106" s="9" t="n"/>
    </row>
    <row r="107">
      <c r="A107" s="5" t="inlineStr">
        <is>
          <t>P2-C9-Q4</t>
        </is>
      </c>
      <c r="B107" s="5" t="inlineStr">
        <is>
          <t>P2</t>
        </is>
      </c>
      <c r="C107" s="5" t="inlineStr">
        <is>
          <t>P2-C9</t>
        </is>
      </c>
      <c r="D107" s="7" t="inlineStr">
        <is>
          <t>Em que medida Gestão de Mudanças e GitOps (environment promotion via PR) foi adotado entre as equipes?</t>
        </is>
      </c>
      <c r="E107" s="5" t="n">
        <v>1</v>
      </c>
      <c r="F107" s="8" t="n"/>
      <c r="G107" s="9" t="n"/>
    </row>
    <row r="108">
      <c r="A108" s="5" t="inlineStr">
        <is>
          <t>P2-C9-Q5</t>
        </is>
      </c>
      <c r="B108" s="5" t="inlineStr">
        <is>
          <t>P2</t>
        </is>
      </c>
      <c r="C108" s="5" t="inlineStr">
        <is>
          <t>P2-C9</t>
        </is>
      </c>
      <c r="D108" s="7" t="inlineStr">
        <is>
          <t>Em que medida Gestão de Mudanças e GitOps (compliance evidence auto-collected) foi adotado entre as equipes?</t>
        </is>
      </c>
      <c r="E108" s="5" t="n">
        <v>1</v>
      </c>
      <c r="F108" s="8" t="n"/>
      <c r="G108" s="9" t="n"/>
    </row>
    <row r="109">
      <c r="A109" s="5" t="inlineStr">
        <is>
          <t>P2-C10-Q1</t>
        </is>
      </c>
      <c r="B109" s="5" t="inlineStr">
        <is>
          <t>P2</t>
        </is>
      </c>
      <c r="C109" s="5" t="inlineStr">
        <is>
          <t>P2-C10</t>
        </is>
      </c>
      <c r="D109" s="7" t="inlineStr">
        <is>
          <t>Em que medida Segurança de Dependências e Cadeia de Suprimentos (dependabot or renovate on every repo) foi adotado entre as equipes?</t>
        </is>
      </c>
      <c r="E109" s="5" t="n">
        <v>1</v>
      </c>
      <c r="F109" s="8" t="n"/>
      <c r="G109" s="9" t="n"/>
    </row>
    <row r="110">
      <c r="A110" s="5" t="inlineStr">
        <is>
          <t>P2-C10-Q2</t>
        </is>
      </c>
      <c r="B110" s="5" t="inlineStr">
        <is>
          <t>P2</t>
        </is>
      </c>
      <c r="C110" s="5" t="inlineStr">
        <is>
          <t>P2-C10</t>
        </is>
      </c>
      <c r="D110" s="7" t="inlineStr">
        <is>
          <t>Em que medida Segurança de Dependências e Cadeia de Suprimentos (allow-list registries only) foi adotado entre as equipes?</t>
        </is>
      </c>
      <c r="E110" s="5" t="n">
        <v>1</v>
      </c>
      <c r="F110" s="8" t="n"/>
      <c r="G110" s="9" t="n"/>
    </row>
    <row r="111">
      <c r="A111" s="5" t="inlineStr">
        <is>
          <t>P2-C10-Q3</t>
        </is>
      </c>
      <c r="B111" s="5" t="inlineStr">
        <is>
          <t>P2</t>
        </is>
      </c>
      <c r="C111" s="5" t="inlineStr">
        <is>
          <t>P2-C10</t>
        </is>
      </c>
      <c r="D111" s="7" t="inlineStr">
        <is>
          <t>Em que medida Segurança de Dependências e Cadeia de Suprimentos (build provenance (SLSA level)) foi adotado entre as equipes?</t>
        </is>
      </c>
      <c r="E111" s="5" t="n">
        <v>1</v>
      </c>
      <c r="F111" s="8" t="n"/>
      <c r="G111" s="9" t="n"/>
    </row>
    <row r="112">
      <c r="A112" s="5" t="inlineStr">
        <is>
          <t>P2-C10-Q4</t>
        </is>
      </c>
      <c r="B112" s="5" t="inlineStr">
        <is>
          <t>P2</t>
        </is>
      </c>
      <c r="C112" s="5" t="inlineStr">
        <is>
          <t>P2-C10</t>
        </is>
      </c>
      <c r="D112" s="7" t="inlineStr">
        <is>
          <t>Em que medida Segurança de Dependências e Cadeia de Suprimentos (critical dep response playbook) foi adotado entre as equipes?</t>
        </is>
      </c>
      <c r="E112" s="5" t="n">
        <v>1</v>
      </c>
      <c r="F112" s="8" t="n"/>
      <c r="G112" s="9" t="n"/>
    </row>
    <row r="113">
      <c r="A113" s="5" t="inlineStr">
        <is>
          <t>P2-C10-Q5</t>
        </is>
      </c>
      <c r="B113" s="5" t="inlineStr">
        <is>
          <t>P2</t>
        </is>
      </c>
      <c r="C113" s="5" t="inlineStr">
        <is>
          <t>P2-C10</t>
        </is>
      </c>
      <c r="D113" s="7" t="inlineStr">
        <is>
          <t>Em que medida Segurança de Dependências e Cadeia de Suprimentos (vendor/OSS risk reviews) foi adotado entre as equipes?</t>
        </is>
      </c>
      <c r="E113" s="5" t="n">
        <v>1</v>
      </c>
      <c r="F113" s="8" t="n"/>
      <c r="G113" s="9" t="n"/>
    </row>
    <row r="114">
      <c r="A114" s="5" t="inlineStr">
        <is>
          <t>P3-C1-Q1</t>
        </is>
      </c>
      <c r="B114" s="5" t="inlineStr">
        <is>
          <t>P3</t>
        </is>
      </c>
      <c r="C114" s="5" t="inlineStr">
        <is>
          <t>P3-C1</t>
        </is>
      </c>
      <c r="D114" s="7" t="inlineStr">
        <is>
          <t>Qual é a maturidade da adoção de arquitetura cloud-native?</t>
        </is>
      </c>
      <c r="E114" s="5" t="n">
        <v>1</v>
      </c>
      <c r="F114" s="8" t="n"/>
      <c r="G114" s="9" t="n"/>
    </row>
    <row r="115">
      <c r="A115" s="5" t="inlineStr">
        <is>
          <t>P3-C1-Q2</t>
        </is>
      </c>
      <c r="B115" s="5" t="inlineStr">
        <is>
          <t>P3</t>
        </is>
      </c>
      <c r="C115" s="5" t="inlineStr">
        <is>
          <t>P3-C1</t>
        </is>
      </c>
      <c r="D115" s="7" t="inlineStr">
        <is>
          <t>Em que medida Arquitetura Nativa da Nuvem (container adoption) foi adotado entre as equipes?</t>
        </is>
      </c>
      <c r="E115" s="5" t="n">
        <v>1</v>
      </c>
      <c r="F115" s="8" t="n"/>
      <c r="G115" s="9" t="n"/>
    </row>
    <row r="116">
      <c r="A116" s="5" t="inlineStr">
        <is>
          <t>P3-C1-Q3</t>
        </is>
      </c>
      <c r="B116" s="5" t="inlineStr">
        <is>
          <t>P3</t>
        </is>
      </c>
      <c r="C116" s="5" t="inlineStr">
        <is>
          <t>P3-C1</t>
        </is>
      </c>
      <c r="D116" s="7" t="inlineStr">
        <is>
          <t>Em que medida Arquitetura Nativa da Nuvem (service mesh / zero trust networking) foi adotado entre as equipes?</t>
        </is>
      </c>
      <c r="E116" s="5" t="n">
        <v>1</v>
      </c>
      <c r="F116" s="8" t="n"/>
      <c r="G116" s="9" t="n"/>
    </row>
    <row r="117">
      <c r="A117" s="5" t="inlineStr">
        <is>
          <t>P3-C1-Q4</t>
        </is>
      </c>
      <c r="B117" s="5" t="inlineStr">
        <is>
          <t>P3</t>
        </is>
      </c>
      <c r="C117" s="5" t="inlineStr">
        <is>
          <t>P3-C1</t>
        </is>
      </c>
      <c r="D117" s="7" t="inlineStr">
        <is>
          <t>Em que medida Arquitetura Nativa da Nuvem (event-driven architecture) foi adotado entre as equipes?</t>
        </is>
      </c>
      <c r="E117" s="5" t="n">
        <v>1</v>
      </c>
      <c r="F117" s="8" t="n"/>
      <c r="G117" s="9" t="n"/>
    </row>
    <row r="118">
      <c r="A118" s="5" t="inlineStr">
        <is>
          <t>P3-C1-Q5</t>
        </is>
      </c>
      <c r="B118" s="5" t="inlineStr">
        <is>
          <t>P3</t>
        </is>
      </c>
      <c r="C118" s="5" t="inlineStr">
        <is>
          <t>P3-C1</t>
        </is>
      </c>
      <c r="D118" s="7" t="inlineStr">
        <is>
          <t>Em que medida Arquitetura Nativa da Nuvem (managed services preference) foi adotado entre as equipes?</t>
        </is>
      </c>
      <c r="E118" s="5" t="n">
        <v>1</v>
      </c>
      <c r="F118" s="8" t="n"/>
      <c r="G118" s="9" t="n"/>
    </row>
    <row r="119">
      <c r="A119" s="5" t="inlineStr">
        <is>
          <t>P3-C2-Q1</t>
        </is>
      </c>
      <c r="B119" s="5" t="inlineStr">
        <is>
          <t>P3</t>
        </is>
      </c>
      <c r="C119" s="5" t="inlineStr">
        <is>
          <t>P3-C2</t>
        </is>
      </c>
      <c r="D119" s="7" t="inlineStr">
        <is>
          <t>Quão madura é sua estratégia de gestão de APIs?</t>
        </is>
      </c>
      <c r="E119" s="5" t="n">
        <v>1</v>
      </c>
      <c r="F119" s="8" t="n"/>
      <c r="G119" s="9" t="n"/>
    </row>
    <row r="120">
      <c r="A120" s="5" t="inlineStr">
        <is>
          <t>P3-C2-Q2</t>
        </is>
      </c>
      <c r="B120" s="5" t="inlineStr">
        <is>
          <t>P3</t>
        </is>
      </c>
      <c r="C120" s="5" t="inlineStr">
        <is>
          <t>P3-C2</t>
        </is>
      </c>
      <c r="D120" s="7" t="inlineStr">
        <is>
          <t>Em que medida Gestão de APIs (API gateway for all external APIs) foi adotado entre as equipes?</t>
        </is>
      </c>
      <c r="E120" s="5" t="n">
        <v>1</v>
      </c>
      <c r="F120" s="8" t="n"/>
      <c r="G120" s="9" t="n"/>
    </row>
    <row r="121">
      <c r="A121" s="5" t="inlineStr">
        <is>
          <t>P3-C2-Q3</t>
        </is>
      </c>
      <c r="B121" s="5" t="inlineStr">
        <is>
          <t>P3</t>
        </is>
      </c>
      <c r="C121" s="5" t="inlineStr">
        <is>
          <t>P3-C2</t>
        </is>
      </c>
      <c r="D121" s="7" t="inlineStr">
        <is>
          <t>Em que medida Gestão de APIs (OpenAPI contracts) foi adotado entre as equipes?</t>
        </is>
      </c>
      <c r="E121" s="5" t="n">
        <v>1</v>
      </c>
      <c r="F121" s="8" t="n"/>
      <c r="G121" s="9" t="n"/>
    </row>
    <row r="122">
      <c r="A122" s="5" t="inlineStr">
        <is>
          <t>P3-C2-Q4</t>
        </is>
      </c>
      <c r="B122" s="5" t="inlineStr">
        <is>
          <t>P3</t>
        </is>
      </c>
      <c r="C122" s="5" t="inlineStr">
        <is>
          <t>P3-C2</t>
        </is>
      </c>
      <c r="D122" s="7" t="inlineStr">
        <is>
          <t>Em que medida Gestão de APIs (versioning &amp; deprecation policy) foi adotado entre as equipes?</t>
        </is>
      </c>
      <c r="E122" s="5" t="n">
        <v>1</v>
      </c>
      <c r="F122" s="8" t="n"/>
      <c r="G122" s="9" t="n"/>
    </row>
    <row r="123">
      <c r="A123" s="5" t="inlineStr">
        <is>
          <t>P3-C2-Q5</t>
        </is>
      </c>
      <c r="B123" s="5" t="inlineStr">
        <is>
          <t>P3</t>
        </is>
      </c>
      <c r="C123" s="5" t="inlineStr">
        <is>
          <t>P3-C2</t>
        </is>
      </c>
      <c r="D123" s="7" t="inlineStr">
        <is>
          <t>Em que medida Gestão de APIs (developer portal with self-serve keys) foi adotado entre as equipes?</t>
        </is>
      </c>
      <c r="E123" s="5" t="n">
        <v>1</v>
      </c>
      <c r="F123" s="8" t="n"/>
      <c r="G123" s="9" t="n"/>
    </row>
    <row r="124">
      <c r="A124" s="5" t="inlineStr">
        <is>
          <t>P3-C3-Q1</t>
        </is>
      </c>
      <c r="B124" s="5" t="inlineStr">
        <is>
          <t>P3</t>
        </is>
      </c>
      <c r="C124" s="5" t="inlineStr">
        <is>
          <t>P3-C3</t>
        </is>
      </c>
      <c r="D124" s="7" t="inlineStr">
        <is>
          <t>Quão madura é a capacidade da sua organização de construir e implantar aplicações com IA?</t>
        </is>
      </c>
      <c r="E124" s="5" t="n">
        <v>1</v>
      </c>
      <c r="F124" s="8" t="n"/>
      <c r="G124" s="9" t="n"/>
    </row>
    <row r="125">
      <c r="A125" s="5" t="inlineStr">
        <is>
          <t>P3-C3-Q2</t>
        </is>
      </c>
      <c r="B125" s="5" t="inlineStr">
        <is>
          <t>P3</t>
        </is>
      </c>
      <c r="C125" s="5" t="inlineStr">
        <is>
          <t>P3-C3</t>
        </is>
      </c>
      <c r="D125" s="7" t="inlineStr">
        <is>
          <t>Em que medida Desenvolvimento de Aplicações de IA (LLM application frameworks) foi adotado entre as equipes?</t>
        </is>
      </c>
      <c r="E125" s="5" t="n">
        <v>1</v>
      </c>
      <c r="F125" s="8" t="n"/>
      <c r="G125" s="9" t="n"/>
    </row>
    <row r="126">
      <c r="A126" s="5" t="inlineStr">
        <is>
          <t>P3-C3-Q3</t>
        </is>
      </c>
      <c r="B126" s="5" t="inlineStr">
        <is>
          <t>P3</t>
        </is>
      </c>
      <c r="C126" s="5" t="inlineStr">
        <is>
          <t>P3-C3</t>
        </is>
      </c>
      <c r="D126" s="7" t="inlineStr">
        <is>
          <t>Em que medida Desenvolvimento de Aplicações de IA (evaluation harness for AI) foi adotado entre as equipes?</t>
        </is>
      </c>
      <c r="E126" s="5" t="n">
        <v>1</v>
      </c>
      <c r="F126" s="8" t="n"/>
      <c r="G126" s="9" t="n"/>
    </row>
    <row r="127">
      <c r="A127" s="5" t="inlineStr">
        <is>
          <t>P3-C3-Q4</t>
        </is>
      </c>
      <c r="B127" s="5" t="inlineStr">
        <is>
          <t>P3</t>
        </is>
      </c>
      <c r="C127" s="5" t="inlineStr">
        <is>
          <t>P3-C3</t>
        </is>
      </c>
      <c r="D127" s="7" t="inlineStr">
        <is>
          <t>Em que medida Desenvolvimento de Aplicações de IA (vector database / RAG platform) foi adotado entre as equipes?</t>
        </is>
      </c>
      <c r="E127" s="5" t="n">
        <v>1</v>
      </c>
      <c r="F127" s="8" t="n"/>
      <c r="G127" s="9" t="n"/>
    </row>
    <row r="128">
      <c r="A128" s="5" t="inlineStr">
        <is>
          <t>P3-C3-Q5</t>
        </is>
      </c>
      <c r="B128" s="5" t="inlineStr">
        <is>
          <t>P3</t>
        </is>
      </c>
      <c r="C128" s="5" t="inlineStr">
        <is>
          <t>P3-C3</t>
        </is>
      </c>
      <c r="D128" s="7" t="inlineStr">
        <is>
          <t>Em que medida Desenvolvimento de Aplicações de IA (responsible AI / safety filters) foi adotado entre as equipes?</t>
        </is>
      </c>
      <c r="E128" s="5" t="n">
        <v>1</v>
      </c>
      <c r="F128" s="8" t="n"/>
      <c r="G128" s="9" t="n"/>
    </row>
    <row r="129">
      <c r="A129" s="5" t="inlineStr">
        <is>
          <t>P3-C4-Q1</t>
        </is>
      </c>
      <c r="B129" s="5" t="inlineStr">
        <is>
          <t>P3</t>
        </is>
      </c>
      <c r="C129" s="5" t="inlineStr">
        <is>
          <t>P3-C4</t>
        </is>
      </c>
      <c r="D129" s="7" t="inlineStr">
        <is>
          <t>Em que medida Plataforma de Dados e Lakehouse (lakehouse or data platform in use) foi adotado entre as equipes?</t>
        </is>
      </c>
      <c r="E129" s="5" t="n">
        <v>1</v>
      </c>
      <c r="F129" s="8" t="n"/>
      <c r="G129" s="9" t="n"/>
    </row>
    <row r="130">
      <c r="A130" s="5" t="inlineStr">
        <is>
          <t>P3-C4-Q2</t>
        </is>
      </c>
      <c r="B130" s="5" t="inlineStr">
        <is>
          <t>P3</t>
        </is>
      </c>
      <c r="C130" s="5" t="inlineStr">
        <is>
          <t>P3-C4</t>
        </is>
      </c>
      <c r="D130" s="7" t="inlineStr">
        <is>
          <t>Em que medida Plataforma de Dados e Lakehouse (data contracts between producers &amp; consumers) foi adotado entre as equipes?</t>
        </is>
      </c>
      <c r="E130" s="5" t="n">
        <v>1</v>
      </c>
      <c r="F130" s="8" t="n"/>
      <c r="G130" s="9" t="n"/>
    </row>
    <row r="131">
      <c r="A131" s="5" t="inlineStr">
        <is>
          <t>P3-C4-Q3</t>
        </is>
      </c>
      <c r="B131" s="5" t="inlineStr">
        <is>
          <t>P3</t>
        </is>
      </c>
      <c r="C131" s="5" t="inlineStr">
        <is>
          <t>P3-C4</t>
        </is>
      </c>
      <c r="D131" s="7" t="inlineStr">
        <is>
          <t>Em que medida Plataforma de Dados e Lakehouse (catalog and lineage tracking) foi adotado entre as equipes?</t>
        </is>
      </c>
      <c r="E131" s="5" t="n">
        <v>1</v>
      </c>
      <c r="F131" s="8" t="n"/>
      <c r="G131" s="9" t="n"/>
    </row>
    <row r="132">
      <c r="A132" s="5" t="inlineStr">
        <is>
          <t>P3-C4-Q4</t>
        </is>
      </c>
      <c r="B132" s="5" t="inlineStr">
        <is>
          <t>P3</t>
        </is>
      </c>
      <c r="C132" s="5" t="inlineStr">
        <is>
          <t>P3-C4</t>
        </is>
      </c>
      <c r="D132" s="7" t="inlineStr">
        <is>
          <t>Em que medida Plataforma de Dados e Lakehouse (self-service analytics) foi adotado entre as equipes?</t>
        </is>
      </c>
      <c r="E132" s="5" t="n">
        <v>1</v>
      </c>
      <c r="F132" s="8" t="n"/>
      <c r="G132" s="9" t="n"/>
    </row>
    <row r="133">
      <c r="A133" s="5" t="inlineStr">
        <is>
          <t>P3-C4-Q5</t>
        </is>
      </c>
      <c r="B133" s="5" t="inlineStr">
        <is>
          <t>P3</t>
        </is>
      </c>
      <c r="C133" s="5" t="inlineStr">
        <is>
          <t>P3-C4</t>
        </is>
      </c>
      <c r="D133" s="7" t="inlineStr">
        <is>
          <t>Em que medida Plataforma de Dados e Lakehouse (real-time streaming ingestion) foi adotado entre as equipes?</t>
        </is>
      </c>
      <c r="E133" s="5" t="n">
        <v>1</v>
      </c>
      <c r="F133" s="8" t="n"/>
      <c r="G133" s="9" t="n"/>
    </row>
    <row r="134">
      <c r="A134" s="5" t="inlineStr">
        <is>
          <t>P3-C5-Q1</t>
        </is>
      </c>
      <c r="B134" s="5" t="inlineStr">
        <is>
          <t>P3</t>
        </is>
      </c>
      <c r="C134" s="5" t="inlineStr">
        <is>
          <t>P3-C5</t>
        </is>
      </c>
      <c r="D134" s="7" t="inlineStr">
        <is>
          <t>Em que medida Aplicações Agênticas (agents with tool-use in prod) foi adotado entre as equipes?</t>
        </is>
      </c>
      <c r="E134" s="5" t="n">
        <v>1</v>
      </c>
      <c r="F134" s="8" t="n"/>
      <c r="G134" s="9" t="n"/>
    </row>
    <row r="135">
      <c r="A135" s="5" t="inlineStr">
        <is>
          <t>P3-C5-Q2</t>
        </is>
      </c>
      <c r="B135" s="5" t="inlineStr">
        <is>
          <t>P3</t>
        </is>
      </c>
      <c r="C135" s="5" t="inlineStr">
        <is>
          <t>P3-C5</t>
        </is>
      </c>
      <c r="D135" s="7" t="inlineStr">
        <is>
          <t>Em que medida Aplicações Agênticas (orchestration framework (Semantic Kernel, etc)) foi adotado entre as equipes?</t>
        </is>
      </c>
      <c r="E135" s="5" t="n">
        <v>1</v>
      </c>
      <c r="F135" s="8" t="n"/>
      <c r="G135" s="9" t="n"/>
    </row>
    <row r="136">
      <c r="A136" s="5" t="inlineStr">
        <is>
          <t>P3-C5-Q3</t>
        </is>
      </c>
      <c r="B136" s="5" t="inlineStr">
        <is>
          <t>P3</t>
        </is>
      </c>
      <c r="C136" s="5" t="inlineStr">
        <is>
          <t>P3-C5</t>
        </is>
      </c>
      <c r="D136" s="7" t="inlineStr">
        <is>
          <t>Em que medida Aplicações Agênticas (evaluation and safety for agents) foi adotado entre as equipes?</t>
        </is>
      </c>
      <c r="E136" s="5" t="n">
        <v>1</v>
      </c>
      <c r="F136" s="8" t="n"/>
      <c r="G136" s="9" t="n"/>
    </row>
    <row r="137">
      <c r="A137" s="5" t="inlineStr">
        <is>
          <t>P3-C5-Q4</t>
        </is>
      </c>
      <c r="B137" s="5" t="inlineStr">
        <is>
          <t>P3</t>
        </is>
      </c>
      <c r="C137" s="5" t="inlineStr">
        <is>
          <t>P3-C5</t>
        </is>
      </c>
      <c r="D137" s="7" t="inlineStr">
        <is>
          <t>Em que medida Aplicações Agênticas (tool/action registry) foi adotado entre as equipes?</t>
        </is>
      </c>
      <c r="E137" s="5" t="n">
        <v>1</v>
      </c>
      <c r="F137" s="8" t="n"/>
      <c r="G137" s="9" t="n"/>
    </row>
    <row r="138">
      <c r="A138" s="5" t="inlineStr">
        <is>
          <t>P3-C5-Q5</t>
        </is>
      </c>
      <c r="B138" s="5" t="inlineStr">
        <is>
          <t>P3</t>
        </is>
      </c>
      <c r="C138" s="5" t="inlineStr">
        <is>
          <t>P3-C5</t>
        </is>
      </c>
      <c r="D138" s="7" t="inlineStr">
        <is>
          <t>Em que medida Aplicações Agênticas (human-in-the-loop controls) foi adotado entre as equipes?</t>
        </is>
      </c>
      <c r="E138" s="5" t="n">
        <v>1</v>
      </c>
      <c r="F138" s="8" t="n"/>
      <c r="G138" s="9" t="n"/>
    </row>
    <row r="139">
      <c r="A139" s="5" t="inlineStr">
        <is>
          <t>P3-C5-Q6</t>
        </is>
      </c>
      <c r="B139" s="5" t="inlineStr">
        <is>
          <t>P3</t>
        </is>
      </c>
      <c r="C139" s="5" t="inlineStr">
        <is>
          <t>P3-C5</t>
        </is>
      </c>
      <c r="D139" s="7" t="inlineStr">
        <is>
          <t>Em que medida Aplicações Agênticas (agent cost and latency telemetry) foi adotado entre as equipes?</t>
        </is>
      </c>
      <c r="E139" s="5" t="n">
        <v>1</v>
      </c>
      <c r="F139" s="8" t="n"/>
      <c r="G139" s="9" t="n"/>
    </row>
    <row r="140">
      <c r="A140" s="5" t="inlineStr">
        <is>
          <t>P3-C6-Q1</t>
        </is>
      </c>
      <c r="B140" s="5" t="inlineStr">
        <is>
          <t>P3</t>
        </is>
      </c>
      <c r="C140" s="5" t="inlineStr">
        <is>
          <t>P3-C6</t>
        </is>
      </c>
      <c r="D140" s="7" t="inlineStr">
        <is>
          <t>Em que medida Gestão de Identidades e Acessos (SSO for all apps) foi adotado entre as equipes?</t>
        </is>
      </c>
      <c r="E140" s="5" t="n">
        <v>1</v>
      </c>
      <c r="F140" s="8" t="n"/>
      <c r="G140" s="9" t="n"/>
    </row>
    <row r="141">
      <c r="A141" s="5" t="inlineStr">
        <is>
          <t>P3-C6-Q2</t>
        </is>
      </c>
      <c r="B141" s="5" t="inlineStr">
        <is>
          <t>P3</t>
        </is>
      </c>
      <c r="C141" s="5" t="inlineStr">
        <is>
          <t>P3-C6</t>
        </is>
      </c>
      <c r="D141" s="7" t="inlineStr">
        <is>
          <t>Em que medida Gestão de Identidades e Acessos (workload identity (no long-lived secrets)) foi adotado entre as equipes?</t>
        </is>
      </c>
      <c r="E141" s="5" t="n">
        <v>1</v>
      </c>
      <c r="F141" s="8" t="n"/>
      <c r="G141" s="9" t="n"/>
    </row>
    <row r="142">
      <c r="A142" s="5" t="inlineStr">
        <is>
          <t>P3-C6-Q3</t>
        </is>
      </c>
      <c r="B142" s="5" t="inlineStr">
        <is>
          <t>P3</t>
        </is>
      </c>
      <c r="C142" s="5" t="inlineStr">
        <is>
          <t>P3-C6</t>
        </is>
      </c>
      <c r="D142" s="7" t="inlineStr">
        <is>
          <t>Em que medida Gestão de Identidades e Acessos (least-privilege with JIT elevation) foi adotado entre as equipes?</t>
        </is>
      </c>
      <c r="E142" s="5" t="n">
        <v>1</v>
      </c>
      <c r="F142" s="8" t="n"/>
      <c r="G142" s="9" t="n"/>
    </row>
    <row r="143">
      <c r="A143" s="5" t="inlineStr">
        <is>
          <t>P3-C6-Q4</t>
        </is>
      </c>
      <c r="B143" s="5" t="inlineStr">
        <is>
          <t>P3</t>
        </is>
      </c>
      <c r="C143" s="5" t="inlineStr">
        <is>
          <t>P3-C6</t>
        </is>
      </c>
      <c r="D143" s="7" t="inlineStr">
        <is>
          <t>Em que medida Gestão de Identidades e Acessos (conditional access policies) foi adotado entre as equipes?</t>
        </is>
      </c>
      <c r="E143" s="5" t="n">
        <v>1</v>
      </c>
      <c r="F143" s="8" t="n"/>
      <c r="G143" s="9" t="n"/>
    </row>
    <row r="144">
      <c r="A144" s="5" t="inlineStr">
        <is>
          <t>P3-C6-Q5</t>
        </is>
      </c>
      <c r="B144" s="5" t="inlineStr">
        <is>
          <t>P3</t>
        </is>
      </c>
      <c r="C144" s="5" t="inlineStr">
        <is>
          <t>P3-C6</t>
        </is>
      </c>
      <c r="D144" s="7" t="inlineStr">
        <is>
          <t>Em que medida Gestão de Identidades e Acessos (access reviews and audit) foi adotado entre as equipes?</t>
        </is>
      </c>
      <c r="E144" s="5" t="n">
        <v>1</v>
      </c>
      <c r="F144" s="8" t="n"/>
      <c r="G144" s="9" t="n"/>
    </row>
    <row r="145">
      <c r="A145" s="5" t="inlineStr">
        <is>
          <t>P3-C7-Q1</t>
        </is>
      </c>
      <c r="B145" s="5" t="inlineStr">
        <is>
          <t>P3</t>
        </is>
      </c>
      <c r="C145" s="5" t="inlineStr">
        <is>
          <t>P3-C7</t>
        </is>
      </c>
      <c r="D145" s="7" t="inlineStr">
        <is>
          <t>Em que medida Multi-Cloud e Portabilidade (container-based workloads for portability) foi adotado entre as equipes?</t>
        </is>
      </c>
      <c r="E145" s="5" t="n">
        <v>1</v>
      </c>
      <c r="F145" s="8" t="n"/>
      <c r="G145" s="9" t="n"/>
    </row>
    <row r="146">
      <c r="A146" s="5" t="inlineStr">
        <is>
          <t>P3-C7-Q2</t>
        </is>
      </c>
      <c r="B146" s="5" t="inlineStr">
        <is>
          <t>P3</t>
        </is>
      </c>
      <c r="C146" s="5" t="inlineStr">
        <is>
          <t>P3-C7</t>
        </is>
      </c>
      <c r="D146" s="7" t="inlineStr">
        <is>
          <t>Em que medida Multi-Cloud e Portabilidade (abstracted data tier (Postgres, etc)) foi adotado entre as equipes?</t>
        </is>
      </c>
      <c r="E146" s="5" t="n">
        <v>1</v>
      </c>
      <c r="F146" s="8" t="n"/>
      <c r="G146" s="9" t="n"/>
    </row>
    <row r="147">
      <c r="A147" s="5" t="inlineStr">
        <is>
          <t>P3-C7-Q3</t>
        </is>
      </c>
      <c r="B147" s="5" t="inlineStr">
        <is>
          <t>P3</t>
        </is>
      </c>
      <c r="C147" s="5" t="inlineStr">
        <is>
          <t>P3-C7</t>
        </is>
      </c>
      <c r="D147" s="7" t="inlineStr">
        <is>
          <t>Em que medida Multi-Cloud e Portabilidade (multi-region deployment capability) foi adotado entre as equipes?</t>
        </is>
      </c>
      <c r="E147" s="5" t="n">
        <v>1</v>
      </c>
      <c r="F147" s="8" t="n"/>
      <c r="G147" s="9" t="n"/>
    </row>
    <row r="148">
      <c r="A148" s="5" t="inlineStr">
        <is>
          <t>P3-C7-Q4</t>
        </is>
      </c>
      <c r="B148" s="5" t="inlineStr">
        <is>
          <t>P3</t>
        </is>
      </c>
      <c r="C148" s="5" t="inlineStr">
        <is>
          <t>P3-C7</t>
        </is>
      </c>
      <c r="D148" s="7" t="inlineStr">
        <is>
          <t>Em que medida Multi-Cloud e Portabilidade (cloud-agnostic IaC modules) foi adotado entre as equipes?</t>
        </is>
      </c>
      <c r="E148" s="5" t="n">
        <v>1</v>
      </c>
      <c r="F148" s="8" t="n"/>
      <c r="G148" s="9" t="n"/>
    </row>
    <row r="149">
      <c r="A149" s="5" t="inlineStr">
        <is>
          <t>P3-C7-Q5</t>
        </is>
      </c>
      <c r="B149" s="5" t="inlineStr">
        <is>
          <t>P3</t>
        </is>
      </c>
      <c r="C149" s="5" t="inlineStr">
        <is>
          <t>P3-C7</t>
        </is>
      </c>
      <c r="D149" s="7" t="inlineStr">
        <is>
          <t>Em que medida Multi-Cloud e Portabilidade (disaster recovery drills) foi adotado entre as equipes?</t>
        </is>
      </c>
      <c r="E149" s="5" t="n">
        <v>1</v>
      </c>
      <c r="F149" s="8" t="n"/>
      <c r="G149" s="9" t="n"/>
    </row>
    <row r="150">
      <c r="A150" s="5" t="inlineStr">
        <is>
          <t>P3-C8-Q1</t>
        </is>
      </c>
      <c r="B150" s="5" t="inlineStr">
        <is>
          <t>P3</t>
        </is>
      </c>
      <c r="C150" s="5" t="inlineStr">
        <is>
          <t>P3-C8</t>
        </is>
      </c>
      <c r="D150" s="7" t="inlineStr">
        <is>
          <t>Em que medida Desempenho e Escalabilidade (performance budgets per service) foi adotado entre as equipes?</t>
        </is>
      </c>
      <c r="E150" s="5" t="n">
        <v>1</v>
      </c>
      <c r="F150" s="8" t="n"/>
      <c r="G150" s="9" t="n"/>
    </row>
    <row r="151">
      <c r="A151" s="5" t="inlineStr">
        <is>
          <t>P3-C8-Q2</t>
        </is>
      </c>
      <c r="B151" s="5" t="inlineStr">
        <is>
          <t>P3</t>
        </is>
      </c>
      <c r="C151" s="5" t="inlineStr">
        <is>
          <t>P3-C8</t>
        </is>
      </c>
      <c r="D151" s="7" t="inlineStr">
        <is>
          <t>Em que medida Desempenho e Escalabilidade (load/stress testing in CI) foi adotado entre as equipes?</t>
        </is>
      </c>
      <c r="E151" s="5" t="n">
        <v>1</v>
      </c>
      <c r="F151" s="8" t="n"/>
      <c r="G151" s="9" t="n"/>
    </row>
    <row r="152">
      <c r="A152" s="5" t="inlineStr">
        <is>
          <t>P3-C8-Q3</t>
        </is>
      </c>
      <c r="B152" s="5" t="inlineStr">
        <is>
          <t>P3</t>
        </is>
      </c>
      <c r="C152" s="5" t="inlineStr">
        <is>
          <t>P3-C8</t>
        </is>
      </c>
      <c r="D152" s="7" t="inlineStr">
        <is>
          <t>Em que medida Desempenho e Escalabilidade (autoscaling based on real demand) foi adotado entre as equipes?</t>
        </is>
      </c>
      <c r="E152" s="5" t="n">
        <v>1</v>
      </c>
      <c r="F152" s="8" t="n"/>
      <c r="G152" s="9" t="n"/>
    </row>
    <row r="153">
      <c r="A153" s="5" t="inlineStr">
        <is>
          <t>P3-C8-Q4</t>
        </is>
      </c>
      <c r="B153" s="5" t="inlineStr">
        <is>
          <t>P3</t>
        </is>
      </c>
      <c r="C153" s="5" t="inlineStr">
        <is>
          <t>P3-C8</t>
        </is>
      </c>
      <c r="D153" s="7" t="inlineStr">
        <is>
          <t>Em que medida Desempenho e Escalabilidade (profiling in production) foi adotado entre as equipes?</t>
        </is>
      </c>
      <c r="E153" s="5" t="n">
        <v>1</v>
      </c>
      <c r="F153" s="8" t="n"/>
      <c r="G153" s="9" t="n"/>
    </row>
    <row r="154">
      <c r="A154" s="5" t="inlineStr">
        <is>
          <t>P3-C8-Q5</t>
        </is>
      </c>
      <c r="B154" s="5" t="inlineStr">
        <is>
          <t>P3</t>
        </is>
      </c>
      <c r="C154" s="5" t="inlineStr">
        <is>
          <t>P3-C8</t>
        </is>
      </c>
      <c r="D154" s="7" t="inlineStr">
        <is>
          <t>Em que medida Desempenho e Escalabilidade (capacity planning cadence) foi adotado entre as equipes?</t>
        </is>
      </c>
      <c r="E154" s="5" t="n">
        <v>1</v>
      </c>
      <c r="F154" s="8" t="n"/>
      <c r="G154" s="9" t="n"/>
    </row>
    <row r="155">
      <c r="A155" s="5" t="inlineStr">
        <is>
          <t>P3-C9-Q1</t>
        </is>
      </c>
      <c r="B155" s="5" t="inlineStr">
        <is>
          <t>P3</t>
        </is>
      </c>
      <c r="C155" s="5" t="inlineStr">
        <is>
          <t>P3-C9</t>
        </is>
      </c>
      <c r="D155" s="7" t="inlineStr">
        <is>
          <t>Em que medida FinOps e Otimização de Custos (cost allocation &amp; showback) foi adotado entre as equipes?</t>
        </is>
      </c>
      <c r="E155" s="5" t="n">
        <v>1</v>
      </c>
      <c r="F155" s="8" t="n"/>
      <c r="G155" s="9" t="n"/>
    </row>
    <row r="156">
      <c r="A156" s="5" t="inlineStr">
        <is>
          <t>P3-C9-Q2</t>
        </is>
      </c>
      <c r="B156" s="5" t="inlineStr">
        <is>
          <t>P3</t>
        </is>
      </c>
      <c r="C156" s="5" t="inlineStr">
        <is>
          <t>P3-C9</t>
        </is>
      </c>
      <c r="D156" s="7" t="inlineStr">
        <is>
          <t>Em que medida FinOps e Otimização de Custos (committed use / savings plans) foi adotado entre as equipes?</t>
        </is>
      </c>
      <c r="E156" s="5" t="n">
        <v>1</v>
      </c>
      <c r="F156" s="8" t="n"/>
      <c r="G156" s="9" t="n"/>
    </row>
    <row r="157">
      <c r="A157" s="5" t="inlineStr">
        <is>
          <t>P3-C9-Q3</t>
        </is>
      </c>
      <c r="B157" s="5" t="inlineStr">
        <is>
          <t>P3</t>
        </is>
      </c>
      <c r="C157" s="5" t="inlineStr">
        <is>
          <t>P3-C9</t>
        </is>
      </c>
      <c r="D157" s="7" t="inlineStr">
        <is>
          <t>Em que medida FinOps e Otimização de Custos (idle and unused resource cleanup) foi adotado entre as equipes?</t>
        </is>
      </c>
      <c r="E157" s="5" t="n">
        <v>1</v>
      </c>
      <c r="F157" s="8" t="n"/>
      <c r="G157" s="9" t="n"/>
    </row>
    <row r="158">
      <c r="A158" s="5" t="inlineStr">
        <is>
          <t>P3-C9-Q4</t>
        </is>
      </c>
      <c r="B158" s="5" t="inlineStr">
        <is>
          <t>P3</t>
        </is>
      </c>
      <c r="C158" s="5" t="inlineStr">
        <is>
          <t>P3-C9</t>
        </is>
      </c>
      <c r="D158" s="7" t="inlineStr">
        <is>
          <t>Em que medida FinOps e Otimização de Custos (rightsizing recommendations) foi adotado entre as equipes?</t>
        </is>
      </c>
      <c r="E158" s="5" t="n">
        <v>1</v>
      </c>
      <c r="F158" s="8" t="n"/>
      <c r="G158" s="9" t="n"/>
    </row>
    <row r="159">
      <c r="A159" s="5" t="inlineStr">
        <is>
          <t>P3-C9-Q5</t>
        </is>
      </c>
      <c r="B159" s="5" t="inlineStr">
        <is>
          <t>P3</t>
        </is>
      </c>
      <c r="C159" s="5" t="inlineStr">
        <is>
          <t>P3-C9</t>
        </is>
      </c>
      <c r="D159" s="7" t="inlineStr">
        <is>
          <t>Em que medida FinOps e Otimização de Custos (unit economics per product) foi adotado entre as equipes?</t>
        </is>
      </c>
      <c r="E159" s="5" t="n">
        <v>1</v>
      </c>
      <c r="F159" s="8" t="n"/>
      <c r="G159" s="9" t="n"/>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showDropDown="0" showInputMessage="0" showErrorMessage="1" allowBlank="1" errorTitle="Nível inválido" error="Use um número entre 0 e 4 (frações são permitidas para médias multi-respondente) ou deixe em branco." type="decimal" operator="between">
      <formula1>0</formula1>
      <formula2>4</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6"/>
  <sheetViews>
    <sheetView workbookViewId="0">
      <pane ySplit="3" topLeftCell="A4" activePane="bottomLeft" state="frozen"/>
      <selection pane="bottomLeft" activeCell="A1" sqref="A1"/>
    </sheetView>
  </sheetViews>
  <sheetFormatPr baseColWidth="8" defaultRowHeight="15"/>
  <cols>
    <col width="10" customWidth="1" min="1" max="1"/>
    <col width="42" customWidth="1" min="2" max="2"/>
    <col width="13" customWidth="1" min="3" max="3"/>
    <col width="13" customWidth="1" min="4" max="4"/>
    <col width="13" customWidth="1" min="5" max="5"/>
    <col width="13" customWidth="1" min="6" max="6"/>
    <col width="13" customWidth="1" min="7" max="7"/>
    <col width="13" customWidth="1" min="8" max="8"/>
    <col width="13" customWidth="1" min="9" max="9"/>
    <col width="24" customWidth="1" min="10" max="10"/>
    <col width="13" customWidth="1" min="11" max="11"/>
    <col width="13" customWidth="1" min="12" max="12"/>
  </cols>
  <sheetData>
    <row r="1">
      <c r="A1" s="10" t="inlineStr">
        <is>
          <t>Cálculo oficial (SUMPRODUCT sobre a aba Respostas)</t>
        </is>
      </c>
    </row>
    <row r="3">
      <c r="A3" s="11" t="inlineStr">
        <is>
          <t>ID</t>
        </is>
      </c>
      <c r="B3" s="11" t="inlineStr">
        <is>
          <t>Nome</t>
        </is>
      </c>
      <c r="C3" s="11" t="inlineStr">
        <is>
          <t>Pilar</t>
        </is>
      </c>
      <c r="D3" s="11" t="inlineStr">
        <is>
          <t>Peso</t>
        </is>
      </c>
      <c r="E3" s="11" t="inlineStr">
        <is>
          <t>Respondidas</t>
        </is>
      </c>
      <c r="F3" s="11" t="inlineStr">
        <is>
          <t>Aplicáveis</t>
        </is>
      </c>
      <c r="G3" s="11" t="inlineStr">
        <is>
          <t>Soma ponderada</t>
        </is>
      </c>
      <c r="H3" s="11" t="inlineStr">
        <is>
          <t>Peso respondido</t>
        </is>
      </c>
      <c r="I3" s="11" t="inlineStr">
        <is>
          <t>Score</t>
        </is>
      </c>
      <c r="J3" s="11" t="inlineStr">
        <is>
          <t>Rótulo</t>
        </is>
      </c>
      <c r="K3" s="11" t="inlineStr">
        <is>
          <t>Contrib. numerador</t>
        </is>
      </c>
      <c r="L3" s="11" t="inlineStr">
        <is>
          <t>Contrib. denominador</t>
        </is>
      </c>
    </row>
    <row r="4">
      <c r="A4" s="5" t="inlineStr">
        <is>
          <t>P1-C1</t>
        </is>
      </c>
      <c r="B4" s="5" t="inlineStr">
        <is>
          <t>Assistentes de Codificação IA</t>
        </is>
      </c>
      <c r="C4" s="5" t="inlineStr">
        <is>
          <t>P1</t>
        </is>
      </c>
      <c r="D4" s="5" t="n">
        <v>1.2</v>
      </c>
      <c r="E4" s="5">
        <f>COUNT(Respostas!F2:F6)</f>
        <v/>
      </c>
      <c r="F4" s="5" t="n">
        <v>5</v>
      </c>
      <c r="G4" s="5">
        <f>SUMPRODUCT(Respostas!F2:F6,Respostas!E2:E6)</f>
        <v/>
      </c>
      <c r="H4" s="5">
        <f>SUMPRODUCT(--(Respostas!F2:F6&lt;&gt;""),Respostas!E2:E6)</f>
        <v/>
      </c>
      <c r="I4" s="12">
        <f>IF(H4=0,"",G4/H4)</f>
        <v/>
      </c>
      <c r="J4" s="5">
        <f>IF(I4="","Sem resposta",LOOKUP(I4,{0,0.5,1.5,2.5,3.5},{"L0 — Inicial","L1 — Em Desenvolvimento","L2 — Definido","L3 — Gerenciado","L4 — Otimizando"}))</f>
        <v/>
      </c>
      <c r="K4" s="5">
        <f>IF(H4=0,0,D4*I4)</f>
        <v/>
      </c>
      <c r="L4" s="5">
        <f>IF(H4=0,0,D4)</f>
        <v/>
      </c>
    </row>
    <row r="5">
      <c r="A5" s="5" t="inlineStr">
        <is>
          <t>P1-C2</t>
        </is>
      </c>
      <c r="B5" s="5" t="inlineStr">
        <is>
          <t>Plataforma de Experiência do Desenvolvedor</t>
        </is>
      </c>
      <c r="C5" s="5" t="inlineStr">
        <is>
          <t>P1</t>
        </is>
      </c>
      <c r="D5" s="5" t="n">
        <v>1</v>
      </c>
      <c r="E5" s="5">
        <f>COUNT(Respostas!F7:F12)</f>
        <v/>
      </c>
      <c r="F5" s="5" t="n">
        <v>6</v>
      </c>
      <c r="G5" s="5">
        <f>SUMPRODUCT(Respostas!F7:F12,Respostas!E7:E12)</f>
        <v/>
      </c>
      <c r="H5" s="5">
        <f>SUMPRODUCT(--(Respostas!F7:F12&lt;&gt;""),Respostas!E7:E12)</f>
        <v/>
      </c>
      <c r="I5" s="12">
        <f>IF(H5=0,"",G5/H5)</f>
        <v/>
      </c>
      <c r="J5" s="5">
        <f>IF(I5="","Sem resposta",LOOKUP(I5,{0,0.5,1.5,2.5,3.5},{"L0 — Inicial","L1 — Em Desenvolvimento","L2 — Definido","L3 — Gerenciado","L4 — Otimizando"}))</f>
        <v/>
      </c>
      <c r="K5" s="5">
        <f>IF(H5=0,0,D5*I5)</f>
        <v/>
      </c>
      <c r="L5" s="5">
        <f>IF(H5=0,0,D5)</f>
        <v/>
      </c>
    </row>
    <row r="6">
      <c r="A6" s="5" t="inlineStr">
        <is>
          <t>P1-C3</t>
        </is>
      </c>
      <c r="B6" s="5" t="inlineStr">
        <is>
          <t>Gestão do Conhecimento</t>
        </is>
      </c>
      <c r="C6" s="5" t="inlineStr">
        <is>
          <t>P1</t>
        </is>
      </c>
      <c r="D6" s="5" t="n">
        <v>0.8</v>
      </c>
      <c r="E6" s="5">
        <f>COUNT(Respostas!F13:F18)</f>
        <v/>
      </c>
      <c r="F6" s="5" t="n">
        <v>6</v>
      </c>
      <c r="G6" s="5">
        <f>SUMPRODUCT(Respostas!F13:F18,Respostas!E13:E18)</f>
        <v/>
      </c>
      <c r="H6" s="5">
        <f>SUMPRODUCT(--(Respostas!F13:F18&lt;&gt;""),Respostas!E13:E18)</f>
        <v/>
      </c>
      <c r="I6" s="12">
        <f>IF(H6=0,"",G6/H6)</f>
        <v/>
      </c>
      <c r="J6" s="5">
        <f>IF(I6="","Sem resposta",LOOKUP(I6,{0,0.5,1.5,2.5,3.5},{"L0 — Inicial","L1 — Em Desenvolvimento","L2 — Definido","L3 — Gerenciado","L4 — Otimizando"}))</f>
        <v/>
      </c>
      <c r="K6" s="5">
        <f>IF(H6=0,0,D6*I6)</f>
        <v/>
      </c>
      <c r="L6" s="5">
        <f>IF(H6=0,0,D6)</f>
        <v/>
      </c>
    </row>
    <row r="7">
      <c r="A7" s="5" t="inlineStr">
        <is>
          <t>P1-C4</t>
        </is>
      </c>
      <c r="B7" s="5" t="inlineStr">
        <is>
          <t>Automação de Revisão de Código</t>
        </is>
      </c>
      <c r="C7" s="5" t="inlineStr">
        <is>
          <t>P1</t>
        </is>
      </c>
      <c r="D7" s="5" t="n">
        <v>1.1</v>
      </c>
      <c r="E7" s="5">
        <f>COUNT(Respostas!F19:F25)</f>
        <v/>
      </c>
      <c r="F7" s="5" t="n">
        <v>7</v>
      </c>
      <c r="G7" s="5">
        <f>SUMPRODUCT(Respostas!F19:F25,Respostas!E19:E25)</f>
        <v/>
      </c>
      <c r="H7" s="5">
        <f>SUMPRODUCT(--(Respostas!F19:F25&lt;&gt;""),Respostas!E19:E25)</f>
        <v/>
      </c>
      <c r="I7" s="12">
        <f>IF(H7=0,"",G7/H7)</f>
        <v/>
      </c>
      <c r="J7" s="5">
        <f>IF(I7="","Sem resposta",LOOKUP(I7,{0,0.5,1.5,2.5,3.5},{"L0 — Inicial","L1 — Em Desenvolvimento","L2 — Definido","L3 — Gerenciado","L4 — Otimizando"}))</f>
        <v/>
      </c>
      <c r="K7" s="5">
        <f>IF(H7=0,0,D7*I7)</f>
        <v/>
      </c>
      <c r="L7" s="5">
        <f>IF(H7=0,0,D7)</f>
        <v/>
      </c>
    </row>
    <row r="8">
      <c r="A8" s="5" t="inlineStr">
        <is>
          <t>P1-C5</t>
        </is>
      </c>
      <c r="B8" s="5" t="inlineStr">
        <is>
          <t>Onboarding e Treinamento de Desenvolvedores</t>
        </is>
      </c>
      <c r="C8" s="5" t="inlineStr">
        <is>
          <t>P1</t>
        </is>
      </c>
      <c r="D8" s="5" t="n">
        <v>0.9</v>
      </c>
      <c r="E8" s="5">
        <f>COUNT(Respostas!F26:F32)</f>
        <v/>
      </c>
      <c r="F8" s="5" t="n">
        <v>7</v>
      </c>
      <c r="G8" s="5">
        <f>SUMPRODUCT(Respostas!F26:F32,Respostas!E26:E32)</f>
        <v/>
      </c>
      <c r="H8" s="5">
        <f>SUMPRODUCT(--(Respostas!F26:F32&lt;&gt;""),Respostas!E26:E32)</f>
        <v/>
      </c>
      <c r="I8" s="12">
        <f>IF(H8=0,"",G8/H8)</f>
        <v/>
      </c>
      <c r="J8" s="5">
        <f>IF(I8="","Sem resposta",LOOKUP(I8,{0,0.5,1.5,2.5,3.5},{"L0 — Inicial","L1 — Em Desenvolvimento","L2 — Definido","L3 — Gerenciado","L4 — Otimizando"}))</f>
        <v/>
      </c>
      <c r="K8" s="5">
        <f>IF(H8=0,0,D8*I8)</f>
        <v/>
      </c>
      <c r="L8" s="5">
        <f>IF(H8=0,0,D8)</f>
        <v/>
      </c>
    </row>
    <row r="9">
      <c r="A9" s="5" t="inlineStr">
        <is>
          <t>P1-C6</t>
        </is>
      </c>
      <c r="B9" s="5" t="inlineStr">
        <is>
          <t>Inner Source e Colaboração</t>
        </is>
      </c>
      <c r="C9" s="5" t="inlineStr">
        <is>
          <t>P1</t>
        </is>
      </c>
      <c r="D9" s="5" t="n">
        <v>0.9</v>
      </c>
      <c r="E9" s="5">
        <f>COUNT(Respostas!F33:F38)</f>
        <v/>
      </c>
      <c r="F9" s="5" t="n">
        <v>6</v>
      </c>
      <c r="G9" s="5">
        <f>SUMPRODUCT(Respostas!F33:F38,Respostas!E33:E38)</f>
        <v/>
      </c>
      <c r="H9" s="5">
        <f>SUMPRODUCT(--(Respostas!F33:F38&lt;&gt;""),Respostas!E33:E38)</f>
        <v/>
      </c>
      <c r="I9" s="12">
        <f>IF(H9=0,"",G9/H9)</f>
        <v/>
      </c>
      <c r="J9" s="5">
        <f>IF(I9="","Sem resposta",LOOKUP(I9,{0,0.5,1.5,2.5,3.5},{"L0 — Inicial","L1 — Em Desenvolvimento","L2 — Definido","L3 — Gerenciado","L4 — Otimizando"}))</f>
        <v/>
      </c>
      <c r="K9" s="5">
        <f>IF(H9=0,0,D9*I9)</f>
        <v/>
      </c>
      <c r="L9" s="5">
        <f>IF(H9=0,0,D9)</f>
        <v/>
      </c>
    </row>
    <row r="10">
      <c r="A10" s="5" t="inlineStr">
        <is>
          <t>P1-C7</t>
        </is>
      </c>
      <c r="B10" s="5" t="inlineStr">
        <is>
          <t>Automação de Documentação</t>
        </is>
      </c>
      <c r="C10" s="5" t="inlineStr">
        <is>
          <t>P1</t>
        </is>
      </c>
      <c r="D10" s="5" t="n">
        <v>0.8</v>
      </c>
      <c r="E10" s="5">
        <f>COUNT(Respostas!F39:F43)</f>
        <v/>
      </c>
      <c r="F10" s="5" t="n">
        <v>5</v>
      </c>
      <c r="G10" s="5">
        <f>SUMPRODUCT(Respostas!F39:F43,Respostas!E39:E43)</f>
        <v/>
      </c>
      <c r="H10" s="5">
        <f>SUMPRODUCT(--(Respostas!F39:F43&lt;&gt;""),Respostas!E39:E43)</f>
        <v/>
      </c>
      <c r="I10" s="12">
        <f>IF(H10=0,"",G10/H10)</f>
        <v/>
      </c>
      <c r="J10" s="5">
        <f>IF(I10="","Sem resposta",LOOKUP(I10,{0,0.5,1.5,2.5,3.5},{"L0 — Inicial","L1 — Em Desenvolvimento","L2 — Definido","L3 — Gerenciado","L4 — Otimizando"}))</f>
        <v/>
      </c>
      <c r="K10" s="5">
        <f>IF(H10=0,0,D10*I10)</f>
        <v/>
      </c>
      <c r="L10" s="5">
        <f>IF(H10=0,0,D10)</f>
        <v/>
      </c>
    </row>
    <row r="11">
      <c r="A11" s="5" t="inlineStr">
        <is>
          <t>P1-C8</t>
        </is>
      </c>
      <c r="B11" s="5" t="inlineStr">
        <is>
          <t>Medição de Produtividade do Desenvolvedor</t>
        </is>
      </c>
      <c r="C11" s="5" t="inlineStr">
        <is>
          <t>P1</t>
        </is>
      </c>
      <c r="D11" s="5" t="n">
        <v>1</v>
      </c>
      <c r="E11" s="5">
        <f>COUNT(Respostas!F44:F49)</f>
        <v/>
      </c>
      <c r="F11" s="5" t="n">
        <v>6</v>
      </c>
      <c r="G11" s="5">
        <f>SUMPRODUCT(Respostas!F44:F49,Respostas!E44:E49)</f>
        <v/>
      </c>
      <c r="H11" s="5">
        <f>SUMPRODUCT(--(Respostas!F44:F49&lt;&gt;""),Respostas!E44:E49)</f>
        <v/>
      </c>
      <c r="I11" s="12">
        <f>IF(H11=0,"",G11/H11)</f>
        <v/>
      </c>
      <c r="J11" s="5">
        <f>IF(I11="","Sem resposta",LOOKUP(I11,{0,0.5,1.5,2.5,3.5},{"L0 — Inicial","L1 — Em Desenvolvimento","L2 — Definido","L3 — Gerenciado","L4 — Otimizando"}))</f>
        <v/>
      </c>
      <c r="K11" s="5">
        <f>IF(H11=0,0,D11*I11)</f>
        <v/>
      </c>
      <c r="L11" s="5">
        <f>IF(H11=0,0,D11)</f>
        <v/>
      </c>
    </row>
    <row r="12">
      <c r="A12" s="5" t="inlineStr">
        <is>
          <t>P1-C9</t>
        </is>
      </c>
      <c r="B12" s="5" t="inlineStr">
        <is>
          <t>Automação de Ambientes e Espaços de Trabalho</t>
        </is>
      </c>
      <c r="C12" s="5" t="inlineStr">
        <is>
          <t>P1</t>
        </is>
      </c>
      <c r="D12" s="5" t="n">
        <v>0.9</v>
      </c>
      <c r="E12" s="5">
        <f>COUNT(Respostas!F50:F54)</f>
        <v/>
      </c>
      <c r="F12" s="5" t="n">
        <v>5</v>
      </c>
      <c r="G12" s="5">
        <f>SUMPRODUCT(Respostas!F50:F54,Respostas!E50:E54)</f>
        <v/>
      </c>
      <c r="H12" s="5">
        <f>SUMPRODUCT(--(Respostas!F50:F54&lt;&gt;""),Respostas!E50:E54)</f>
        <v/>
      </c>
      <c r="I12" s="12">
        <f>IF(H12=0,"",G12/H12)</f>
        <v/>
      </c>
      <c r="J12" s="5">
        <f>IF(I12="","Sem resposta",LOOKUP(I12,{0,0.5,1.5,2.5,3.5},{"L0 — Inicial","L1 — Em Desenvolvimento","L2 — Definido","L3 — Gerenciado","L4 — Otimizando"}))</f>
        <v/>
      </c>
      <c r="K12" s="5">
        <f>IF(H12=0,0,D12*I12)</f>
        <v/>
      </c>
      <c r="L12" s="5">
        <f>IF(H12=0,0,D12)</f>
        <v/>
      </c>
    </row>
    <row r="13">
      <c r="A13" s="5" t="inlineStr">
        <is>
          <t>P2-C1</t>
        </is>
      </c>
      <c r="B13" s="5" t="inlineStr">
        <is>
          <t>Inteligência de Pipeline CI/CD</t>
        </is>
      </c>
      <c r="C13" s="5" t="inlineStr">
        <is>
          <t>P2</t>
        </is>
      </c>
      <c r="D13" s="5" t="n">
        <v>1.2</v>
      </c>
      <c r="E13" s="5">
        <f>COUNT(Respostas!F55:F60)</f>
        <v/>
      </c>
      <c r="F13" s="5" t="n">
        <v>6</v>
      </c>
      <c r="G13" s="5">
        <f>SUMPRODUCT(Respostas!F55:F60,Respostas!E55:E60)</f>
        <v/>
      </c>
      <c r="H13" s="5">
        <f>SUMPRODUCT(--(Respostas!F55:F60&lt;&gt;""),Respostas!E55:E60)</f>
        <v/>
      </c>
      <c r="I13" s="12">
        <f>IF(H13=0,"",G13/H13)</f>
        <v/>
      </c>
      <c r="J13" s="5">
        <f>IF(I13="","Sem resposta",LOOKUP(I13,{0,0.5,1.5,2.5,3.5},{"L0 — Inicial","L1 — Em Desenvolvimento","L2 — Definido","L3 — Gerenciado","L4 — Otimizando"}))</f>
        <v/>
      </c>
      <c r="K13" s="5">
        <f>IF(H13=0,0,D13*I13)</f>
        <v/>
      </c>
      <c r="L13" s="5">
        <f>IF(H13=0,0,D13)</f>
        <v/>
      </c>
    </row>
    <row r="14">
      <c r="A14" s="5" t="inlineStr">
        <is>
          <t>P2-C2</t>
        </is>
      </c>
      <c r="B14" s="5" t="inlineStr">
        <is>
          <t>Infraestrutura como Código</t>
        </is>
      </c>
      <c r="C14" s="5" t="inlineStr">
        <is>
          <t>P2</t>
        </is>
      </c>
      <c r="D14" s="5" t="n">
        <v>1.1</v>
      </c>
      <c r="E14" s="5">
        <f>COUNT(Respostas!F61:F66)</f>
        <v/>
      </c>
      <c r="F14" s="5" t="n">
        <v>6</v>
      </c>
      <c r="G14" s="5">
        <f>SUMPRODUCT(Respostas!F61:F66,Respostas!E61:E66)</f>
        <v/>
      </c>
      <c r="H14" s="5">
        <f>SUMPRODUCT(--(Respostas!F61:F66&lt;&gt;""),Respostas!E61:E66)</f>
        <v/>
      </c>
      <c r="I14" s="12">
        <f>IF(H14=0,"",G14/H14)</f>
        <v/>
      </c>
      <c r="J14" s="5">
        <f>IF(I14="","Sem resposta",LOOKUP(I14,{0,0.5,1.5,2.5,3.5},{"L0 — Inicial","L1 — Em Desenvolvimento","L2 — Definido","L3 — Gerenciado","L4 — Otimizando"}))</f>
        <v/>
      </c>
      <c r="K14" s="5">
        <f>IF(H14=0,0,D14*I14)</f>
        <v/>
      </c>
      <c r="L14" s="5">
        <f>IF(H14=0,0,D14)</f>
        <v/>
      </c>
    </row>
    <row r="15">
      <c r="A15" s="5" t="inlineStr">
        <is>
          <t>P2-C3</t>
        </is>
      </c>
      <c r="B15" s="5" t="inlineStr">
        <is>
          <t>Observabilidade e Monitoramento</t>
        </is>
      </c>
      <c r="C15" s="5" t="inlineStr">
        <is>
          <t>P2</t>
        </is>
      </c>
      <c r="D15" s="5" t="n">
        <v>1</v>
      </c>
      <c r="E15" s="5">
        <f>COUNT(Respostas!F67:F72)</f>
        <v/>
      </c>
      <c r="F15" s="5" t="n">
        <v>6</v>
      </c>
      <c r="G15" s="5">
        <f>SUMPRODUCT(Respostas!F67:F72,Respostas!E67:E72)</f>
        <v/>
      </c>
      <c r="H15" s="5">
        <f>SUMPRODUCT(--(Respostas!F67:F72&lt;&gt;""),Respostas!E67:E72)</f>
        <v/>
      </c>
      <c r="I15" s="12">
        <f>IF(H15=0,"",G15/H15)</f>
        <v/>
      </c>
      <c r="J15" s="5">
        <f>IF(I15="","Sem resposta",LOOKUP(I15,{0,0.5,1.5,2.5,3.5},{"L0 — Inicial","L1 — Em Desenvolvimento","L2 — Definido","L3 — Gerenciado","L4 — Otimizando"}))</f>
        <v/>
      </c>
      <c r="K15" s="5">
        <f>IF(H15=0,0,D15*I15)</f>
        <v/>
      </c>
      <c r="L15" s="5">
        <f>IF(H15=0,0,D15)</f>
        <v/>
      </c>
    </row>
    <row r="16">
      <c r="A16" s="5" t="inlineStr">
        <is>
          <t>P2-C4</t>
        </is>
      </c>
      <c r="B16" s="5" t="inlineStr">
        <is>
          <t>Integração de Segurança (DevSecOps)</t>
        </is>
      </c>
      <c r="C16" s="5" t="inlineStr">
        <is>
          <t>P2</t>
        </is>
      </c>
      <c r="D16" s="5" t="n">
        <v>1.2</v>
      </c>
      <c r="E16" s="5">
        <f>COUNT(Respostas!F73:F78)</f>
        <v/>
      </c>
      <c r="F16" s="5" t="n">
        <v>6</v>
      </c>
      <c r="G16" s="5">
        <f>SUMPRODUCT(Respostas!F73:F78,Respostas!E73:E78)</f>
        <v/>
      </c>
      <c r="H16" s="5">
        <f>SUMPRODUCT(--(Respostas!F73:F78&lt;&gt;""),Respostas!E73:E78)</f>
        <v/>
      </c>
      <c r="I16" s="12">
        <f>IF(H16=0,"",G16/H16)</f>
        <v/>
      </c>
      <c r="J16" s="5">
        <f>IF(I16="","Sem resposta",LOOKUP(I16,{0,0.5,1.5,2.5,3.5},{"L0 — Inicial","L1 — Em Desenvolvimento","L2 — Definido","L3 — Gerenciado","L4 — Otimizando"}))</f>
        <v/>
      </c>
      <c r="K16" s="5">
        <f>IF(H16=0,0,D16*I16)</f>
        <v/>
      </c>
      <c r="L16" s="5">
        <f>IF(H16=0,0,D16)</f>
        <v/>
      </c>
    </row>
    <row r="17">
      <c r="A17" s="5" t="inlineStr">
        <is>
          <t>P2-C5</t>
        </is>
      </c>
      <c r="B17" s="5" t="inlineStr">
        <is>
          <t>Estratégias de Release e Implantação</t>
        </is>
      </c>
      <c r="C17" s="5" t="inlineStr">
        <is>
          <t>P2</t>
        </is>
      </c>
      <c r="D17" s="5" t="n">
        <v>1.1</v>
      </c>
      <c r="E17" s="5">
        <f>COUNT(Respostas!F79:F84)</f>
        <v/>
      </c>
      <c r="F17" s="5" t="n">
        <v>6</v>
      </c>
      <c r="G17" s="5">
        <f>SUMPRODUCT(Respostas!F79:F84,Respostas!E79:E84)</f>
        <v/>
      </c>
      <c r="H17" s="5">
        <f>SUMPRODUCT(--(Respostas!F79:F84&lt;&gt;""),Respostas!E79:E84)</f>
        <v/>
      </c>
      <c r="I17" s="12">
        <f>IF(H17=0,"",G17/H17)</f>
        <v/>
      </c>
      <c r="J17" s="5">
        <f>IF(I17="","Sem resposta",LOOKUP(I17,{0,0.5,1.5,2.5,3.5},{"L0 — Inicial","L1 — Em Desenvolvimento","L2 — Definido","L3 — Gerenciado","L4 — Otimizando"}))</f>
        <v/>
      </c>
      <c r="K17" s="5">
        <f>IF(H17=0,0,D17*I17)</f>
        <v/>
      </c>
      <c r="L17" s="5">
        <f>IF(H17=0,0,D17)</f>
        <v/>
      </c>
    </row>
    <row r="18">
      <c r="A18" s="5" t="inlineStr">
        <is>
          <t>P2-C6</t>
        </is>
      </c>
      <c r="B18" s="5" t="inlineStr">
        <is>
          <t>Automação de Testes</t>
        </is>
      </c>
      <c r="C18" s="5" t="inlineStr">
        <is>
          <t>P2</t>
        </is>
      </c>
      <c r="D18" s="5" t="n">
        <v>1.1</v>
      </c>
      <c r="E18" s="5">
        <f>COUNT(Respostas!F85:F91)</f>
        <v/>
      </c>
      <c r="F18" s="5" t="n">
        <v>7</v>
      </c>
      <c r="G18" s="5">
        <f>SUMPRODUCT(Respostas!F85:F91,Respostas!E85:E91)</f>
        <v/>
      </c>
      <c r="H18" s="5">
        <f>SUMPRODUCT(--(Respostas!F85:F91&lt;&gt;""),Respostas!E85:E91)</f>
        <v/>
      </c>
      <c r="I18" s="12">
        <f>IF(H18=0,"",G18/H18)</f>
        <v/>
      </c>
      <c r="J18" s="5">
        <f>IF(I18="","Sem resposta",LOOKUP(I18,{0,0.5,1.5,2.5,3.5},{"L0 — Inicial","L1 — Em Desenvolvimento","L2 — Definido","L3 — Gerenciado","L4 — Otimizando"}))</f>
        <v/>
      </c>
      <c r="K18" s="5">
        <f>IF(H18=0,0,D18*I18)</f>
        <v/>
      </c>
      <c r="L18" s="5">
        <f>IF(H18=0,0,D18)</f>
        <v/>
      </c>
    </row>
    <row r="19">
      <c r="A19" s="5" t="inlineStr">
        <is>
          <t>P2-C7</t>
        </is>
      </c>
      <c r="B19" s="5" t="inlineStr">
        <is>
          <t>Gestão de Incidentes e SRE</t>
        </is>
      </c>
      <c r="C19" s="5" t="inlineStr">
        <is>
          <t>P2</t>
        </is>
      </c>
      <c r="D19" s="5" t="n">
        <v>1.1</v>
      </c>
      <c r="E19" s="5">
        <f>COUNT(Respostas!F92:F98)</f>
        <v/>
      </c>
      <c r="F19" s="5" t="n">
        <v>7</v>
      </c>
      <c r="G19" s="5">
        <f>SUMPRODUCT(Respostas!F92:F98,Respostas!E92:E98)</f>
        <v/>
      </c>
      <c r="H19" s="5">
        <f>SUMPRODUCT(--(Respostas!F92:F98&lt;&gt;""),Respostas!E92:E98)</f>
        <v/>
      </c>
      <c r="I19" s="12">
        <f>IF(H19=0,"",G19/H19)</f>
        <v/>
      </c>
      <c r="J19" s="5">
        <f>IF(I19="","Sem resposta",LOOKUP(I19,{0,0.5,1.5,2.5,3.5},{"L0 — Inicial","L1 — Em Desenvolvimento","L2 — Definido","L3 — Gerenciado","L4 — Otimizando"}))</f>
        <v/>
      </c>
      <c r="K19" s="5">
        <f>IF(H19=0,0,D19*I19)</f>
        <v/>
      </c>
      <c r="L19" s="5">
        <f>IF(H19=0,0,D19)</f>
        <v/>
      </c>
    </row>
    <row r="20">
      <c r="A20" s="5" t="inlineStr">
        <is>
          <t>P2-C8</t>
        </is>
      </c>
      <c r="B20" s="5" t="inlineStr">
        <is>
          <t>Gestão de Artefatos e Pacotes</t>
        </is>
      </c>
      <c r="C20" s="5" t="inlineStr">
        <is>
          <t>P2</t>
        </is>
      </c>
      <c r="D20" s="5" t="n">
        <v>0.9</v>
      </c>
      <c r="E20" s="5">
        <f>COUNT(Respostas!F99:F103)</f>
        <v/>
      </c>
      <c r="F20" s="5" t="n">
        <v>5</v>
      </c>
      <c r="G20" s="5">
        <f>SUMPRODUCT(Respostas!F99:F103,Respostas!E99:E103)</f>
        <v/>
      </c>
      <c r="H20" s="5">
        <f>SUMPRODUCT(--(Respostas!F99:F103&lt;&gt;""),Respostas!E99:E103)</f>
        <v/>
      </c>
      <c r="I20" s="12">
        <f>IF(H20=0,"",G20/H20)</f>
        <v/>
      </c>
      <c r="J20" s="5">
        <f>IF(I20="","Sem resposta",LOOKUP(I20,{0,0.5,1.5,2.5,3.5},{"L0 — Inicial","L1 — Em Desenvolvimento","L2 — Definido","L3 — Gerenciado","L4 — Otimizando"}))</f>
        <v/>
      </c>
      <c r="K20" s="5">
        <f>IF(H20=0,0,D20*I20)</f>
        <v/>
      </c>
      <c r="L20" s="5">
        <f>IF(H20=0,0,D20)</f>
        <v/>
      </c>
    </row>
    <row r="21">
      <c r="A21" s="5" t="inlineStr">
        <is>
          <t>P2-C9</t>
        </is>
      </c>
      <c r="B21" s="5" t="inlineStr">
        <is>
          <t>Gestão de Mudanças e GitOps</t>
        </is>
      </c>
      <c r="C21" s="5" t="inlineStr">
        <is>
          <t>P2</t>
        </is>
      </c>
      <c r="D21" s="5" t="n">
        <v>1</v>
      </c>
      <c r="E21" s="5">
        <f>COUNT(Respostas!F104:F108)</f>
        <v/>
      </c>
      <c r="F21" s="5" t="n">
        <v>5</v>
      </c>
      <c r="G21" s="5">
        <f>SUMPRODUCT(Respostas!F104:F108,Respostas!E104:E108)</f>
        <v/>
      </c>
      <c r="H21" s="5">
        <f>SUMPRODUCT(--(Respostas!F104:F108&lt;&gt;""),Respostas!E104:E108)</f>
        <v/>
      </c>
      <c r="I21" s="12">
        <f>IF(H21=0,"",G21/H21)</f>
        <v/>
      </c>
      <c r="J21" s="5">
        <f>IF(I21="","Sem resposta",LOOKUP(I21,{0,0.5,1.5,2.5,3.5},{"L0 — Inicial","L1 — Em Desenvolvimento","L2 — Definido","L3 — Gerenciado","L4 — Otimizando"}))</f>
        <v/>
      </c>
      <c r="K21" s="5">
        <f>IF(H21=0,0,D21*I21)</f>
        <v/>
      </c>
      <c r="L21" s="5">
        <f>IF(H21=0,0,D21)</f>
        <v/>
      </c>
    </row>
    <row r="22">
      <c r="A22" s="5" t="inlineStr">
        <is>
          <t>P2-C10</t>
        </is>
      </c>
      <c r="B22" s="5" t="inlineStr">
        <is>
          <t>Segurança de Dependências e Cadeia de Suprimentos</t>
        </is>
      </c>
      <c r="C22" s="5" t="inlineStr">
        <is>
          <t>P2</t>
        </is>
      </c>
      <c r="D22" s="5" t="n">
        <v>1.1</v>
      </c>
      <c r="E22" s="5">
        <f>COUNT(Respostas!F109:F113)</f>
        <v/>
      </c>
      <c r="F22" s="5" t="n">
        <v>5</v>
      </c>
      <c r="G22" s="5">
        <f>SUMPRODUCT(Respostas!F109:F113,Respostas!E109:E113)</f>
        <v/>
      </c>
      <c r="H22" s="5">
        <f>SUMPRODUCT(--(Respostas!F109:F113&lt;&gt;""),Respostas!E109:E113)</f>
        <v/>
      </c>
      <c r="I22" s="12">
        <f>IF(H22=0,"",G22/H22)</f>
        <v/>
      </c>
      <c r="J22" s="5">
        <f>IF(I22="","Sem resposta",LOOKUP(I22,{0,0.5,1.5,2.5,3.5},{"L0 — Inicial","L1 — Em Desenvolvimento","L2 — Definido","L3 — Gerenciado","L4 — Otimizando"}))</f>
        <v/>
      </c>
      <c r="K22" s="5">
        <f>IF(H22=0,0,D22*I22)</f>
        <v/>
      </c>
      <c r="L22" s="5">
        <f>IF(H22=0,0,D22)</f>
        <v/>
      </c>
    </row>
    <row r="23">
      <c r="A23" s="5" t="inlineStr">
        <is>
          <t>P3-C1</t>
        </is>
      </c>
      <c r="B23" s="5" t="inlineStr">
        <is>
          <t>Arquitetura Cloud-Native</t>
        </is>
      </c>
      <c r="C23" s="5" t="inlineStr">
        <is>
          <t>P3</t>
        </is>
      </c>
      <c r="D23" s="5" t="n">
        <v>1.1</v>
      </c>
      <c r="E23" s="5">
        <f>COUNT(Respostas!F114:F118)</f>
        <v/>
      </c>
      <c r="F23" s="5" t="n">
        <v>5</v>
      </c>
      <c r="G23" s="5">
        <f>SUMPRODUCT(Respostas!F114:F118,Respostas!E114:E118)</f>
        <v/>
      </c>
      <c r="H23" s="5">
        <f>SUMPRODUCT(--(Respostas!F114:F118&lt;&gt;""),Respostas!E114:E118)</f>
        <v/>
      </c>
      <c r="I23" s="12">
        <f>IF(H23=0,"",G23/H23)</f>
        <v/>
      </c>
      <c r="J23" s="5">
        <f>IF(I23="","Sem resposta",LOOKUP(I23,{0,0.5,1.5,2.5,3.5},{"L0 — Inicial","L1 — Em Desenvolvimento","L2 — Definido","L3 — Gerenciado","L4 — Otimizando"}))</f>
        <v/>
      </c>
      <c r="K23" s="5">
        <f>IF(H23=0,0,D23*I23)</f>
        <v/>
      </c>
      <c r="L23" s="5">
        <f>IF(H23=0,0,D23)</f>
        <v/>
      </c>
    </row>
    <row r="24">
      <c r="A24" s="5" t="inlineStr">
        <is>
          <t>P3-C2</t>
        </is>
      </c>
      <c r="B24" s="5" t="inlineStr">
        <is>
          <t>Gestão de APIs</t>
        </is>
      </c>
      <c r="C24" s="5" t="inlineStr">
        <is>
          <t>P3</t>
        </is>
      </c>
      <c r="D24" s="5" t="n">
        <v>0.9</v>
      </c>
      <c r="E24" s="5">
        <f>COUNT(Respostas!F119:F123)</f>
        <v/>
      </c>
      <c r="F24" s="5" t="n">
        <v>5</v>
      </c>
      <c r="G24" s="5">
        <f>SUMPRODUCT(Respostas!F119:F123,Respostas!E119:E123)</f>
        <v/>
      </c>
      <c r="H24" s="5">
        <f>SUMPRODUCT(--(Respostas!F119:F123&lt;&gt;""),Respostas!E119:E123)</f>
        <v/>
      </c>
      <c r="I24" s="12">
        <f>IF(H24=0,"",G24/H24)</f>
        <v/>
      </c>
      <c r="J24" s="5">
        <f>IF(I24="","Sem resposta",LOOKUP(I24,{0,0.5,1.5,2.5,3.5},{"L0 — Inicial","L1 — Em Desenvolvimento","L2 — Definido","L3 — Gerenciado","L4 — Otimizando"}))</f>
        <v/>
      </c>
      <c r="K24" s="5">
        <f>IF(H24=0,0,D24*I24)</f>
        <v/>
      </c>
      <c r="L24" s="5">
        <f>IF(H24=0,0,D24)</f>
        <v/>
      </c>
    </row>
    <row r="25">
      <c r="A25" s="5" t="inlineStr">
        <is>
          <t>P3-C3</t>
        </is>
      </c>
      <c r="B25" s="5" t="inlineStr">
        <is>
          <t>Desenvolvimento de Aplicações IA</t>
        </is>
      </c>
      <c r="C25" s="5" t="inlineStr">
        <is>
          <t>P3</t>
        </is>
      </c>
      <c r="D25" s="5" t="n">
        <v>1</v>
      </c>
      <c r="E25" s="5">
        <f>COUNT(Respostas!F124:F128)</f>
        <v/>
      </c>
      <c r="F25" s="5" t="n">
        <v>5</v>
      </c>
      <c r="G25" s="5">
        <f>SUMPRODUCT(Respostas!F124:F128,Respostas!E124:E128)</f>
        <v/>
      </c>
      <c r="H25" s="5">
        <f>SUMPRODUCT(--(Respostas!F124:F128&lt;&gt;""),Respostas!E124:E128)</f>
        <v/>
      </c>
      <c r="I25" s="12">
        <f>IF(H25=0,"",G25/H25)</f>
        <v/>
      </c>
      <c r="J25" s="5">
        <f>IF(I25="","Sem resposta",LOOKUP(I25,{0,0.5,1.5,2.5,3.5},{"L0 — Inicial","L1 — Em Desenvolvimento","L2 — Definido","L3 — Gerenciado","L4 — Otimizando"}))</f>
        <v/>
      </c>
      <c r="K25" s="5">
        <f>IF(H25=0,0,D25*I25)</f>
        <v/>
      </c>
      <c r="L25" s="5">
        <f>IF(H25=0,0,D25)</f>
        <v/>
      </c>
    </row>
    <row r="26">
      <c r="A26" s="5" t="inlineStr">
        <is>
          <t>P3-C4</t>
        </is>
      </c>
      <c r="B26" s="5" t="inlineStr">
        <is>
          <t>Plataforma de Dados e Lakehouse</t>
        </is>
      </c>
      <c r="C26" s="5" t="inlineStr">
        <is>
          <t>P3</t>
        </is>
      </c>
      <c r="D26" s="5" t="n">
        <v>1</v>
      </c>
      <c r="E26" s="5">
        <f>COUNT(Respostas!F129:F133)</f>
        <v/>
      </c>
      <c r="F26" s="5" t="n">
        <v>5</v>
      </c>
      <c r="G26" s="5">
        <f>SUMPRODUCT(Respostas!F129:F133,Respostas!E129:E133)</f>
        <v/>
      </c>
      <c r="H26" s="5">
        <f>SUMPRODUCT(--(Respostas!F129:F133&lt;&gt;""),Respostas!E129:E133)</f>
        <v/>
      </c>
      <c r="I26" s="12">
        <f>IF(H26=0,"",G26/H26)</f>
        <v/>
      </c>
      <c r="J26" s="5">
        <f>IF(I26="","Sem resposta",LOOKUP(I26,{0,0.5,1.5,2.5,3.5},{"L0 — Inicial","L1 — Em Desenvolvimento","L2 — Definido","L3 — Gerenciado","L4 — Otimizando"}))</f>
        <v/>
      </c>
      <c r="K26" s="5">
        <f>IF(H26=0,0,D26*I26)</f>
        <v/>
      </c>
      <c r="L26" s="5">
        <f>IF(H26=0,0,D26)</f>
        <v/>
      </c>
    </row>
    <row r="27">
      <c r="A27" s="5" t="inlineStr">
        <is>
          <t>P3-C5</t>
        </is>
      </c>
      <c r="B27" s="5" t="inlineStr">
        <is>
          <t>Aplicações Agênticas</t>
        </is>
      </c>
      <c r="C27" s="5" t="inlineStr">
        <is>
          <t>P3</t>
        </is>
      </c>
      <c r="D27" s="5" t="n">
        <v>1</v>
      </c>
      <c r="E27" s="5">
        <f>COUNT(Respostas!F134:F139)</f>
        <v/>
      </c>
      <c r="F27" s="5" t="n">
        <v>6</v>
      </c>
      <c r="G27" s="5">
        <f>SUMPRODUCT(Respostas!F134:F139,Respostas!E134:E139)</f>
        <v/>
      </c>
      <c r="H27" s="5">
        <f>SUMPRODUCT(--(Respostas!F134:F139&lt;&gt;""),Respostas!E134:E139)</f>
        <v/>
      </c>
      <c r="I27" s="12">
        <f>IF(H27=0,"",G27/H27)</f>
        <v/>
      </c>
      <c r="J27" s="5">
        <f>IF(I27="","Sem resposta",LOOKUP(I27,{0,0.5,1.5,2.5,3.5},{"L0 — Inicial","L1 — Em Desenvolvimento","L2 — Definido","L3 — Gerenciado","L4 — Otimizando"}))</f>
        <v/>
      </c>
      <c r="K27" s="5">
        <f>IF(H27=0,0,D27*I27)</f>
        <v/>
      </c>
      <c r="L27" s="5">
        <f>IF(H27=0,0,D27)</f>
        <v/>
      </c>
    </row>
    <row r="28">
      <c r="A28" s="5" t="inlineStr">
        <is>
          <t>P3-C6</t>
        </is>
      </c>
      <c r="B28" s="5" t="inlineStr">
        <is>
          <t>Gestão de Identidades e Acessos</t>
        </is>
      </c>
      <c r="C28" s="5" t="inlineStr">
        <is>
          <t>P3</t>
        </is>
      </c>
      <c r="D28" s="5" t="n">
        <v>1.1</v>
      </c>
      <c r="E28" s="5">
        <f>COUNT(Respostas!F140:F144)</f>
        <v/>
      </c>
      <c r="F28" s="5" t="n">
        <v>5</v>
      </c>
      <c r="G28" s="5">
        <f>SUMPRODUCT(Respostas!F140:F144,Respostas!E140:E144)</f>
        <v/>
      </c>
      <c r="H28" s="5">
        <f>SUMPRODUCT(--(Respostas!F140:F144&lt;&gt;""),Respostas!E140:E144)</f>
        <v/>
      </c>
      <c r="I28" s="12">
        <f>IF(H28=0,"",G28/H28)</f>
        <v/>
      </c>
      <c r="J28" s="5">
        <f>IF(I28="","Sem resposta",LOOKUP(I28,{0,0.5,1.5,2.5,3.5},{"L0 — Inicial","L1 — Em Desenvolvimento","L2 — Definido","L3 — Gerenciado","L4 — Otimizando"}))</f>
        <v/>
      </c>
      <c r="K28" s="5">
        <f>IF(H28=0,0,D28*I28)</f>
        <v/>
      </c>
      <c r="L28" s="5">
        <f>IF(H28=0,0,D28)</f>
        <v/>
      </c>
    </row>
    <row r="29">
      <c r="A29" s="5" t="inlineStr">
        <is>
          <t>P3-C7</t>
        </is>
      </c>
      <c r="B29" s="5" t="inlineStr">
        <is>
          <t>Multi-Cloud e Portabilidade</t>
        </is>
      </c>
      <c r="C29" s="5" t="inlineStr">
        <is>
          <t>P3</t>
        </is>
      </c>
      <c r="D29" s="5" t="n">
        <v>0.8</v>
      </c>
      <c r="E29" s="5">
        <f>COUNT(Respostas!F145:F149)</f>
        <v/>
      </c>
      <c r="F29" s="5" t="n">
        <v>5</v>
      </c>
      <c r="G29" s="5">
        <f>SUMPRODUCT(Respostas!F145:F149,Respostas!E145:E149)</f>
        <v/>
      </c>
      <c r="H29" s="5">
        <f>SUMPRODUCT(--(Respostas!F145:F149&lt;&gt;""),Respostas!E145:E149)</f>
        <v/>
      </c>
      <c r="I29" s="12">
        <f>IF(H29=0,"",G29/H29)</f>
        <v/>
      </c>
      <c r="J29" s="5">
        <f>IF(I29="","Sem resposta",LOOKUP(I29,{0,0.5,1.5,2.5,3.5},{"L0 — Inicial","L1 — Em Desenvolvimento","L2 — Definido","L3 — Gerenciado","L4 — Otimizando"}))</f>
        <v/>
      </c>
      <c r="K29" s="5">
        <f>IF(H29=0,0,D29*I29)</f>
        <v/>
      </c>
      <c r="L29" s="5">
        <f>IF(H29=0,0,D29)</f>
        <v/>
      </c>
    </row>
    <row r="30">
      <c r="A30" s="5" t="inlineStr">
        <is>
          <t>P3-C8</t>
        </is>
      </c>
      <c r="B30" s="5" t="inlineStr">
        <is>
          <t>Desempenho e Escalabilidade</t>
        </is>
      </c>
      <c r="C30" s="5" t="inlineStr">
        <is>
          <t>P3</t>
        </is>
      </c>
      <c r="D30" s="5" t="n">
        <v>1</v>
      </c>
      <c r="E30" s="5">
        <f>COUNT(Respostas!F150:F154)</f>
        <v/>
      </c>
      <c r="F30" s="5" t="n">
        <v>5</v>
      </c>
      <c r="G30" s="5">
        <f>SUMPRODUCT(Respostas!F150:F154,Respostas!E150:E154)</f>
        <v/>
      </c>
      <c r="H30" s="5">
        <f>SUMPRODUCT(--(Respostas!F150:F154&lt;&gt;""),Respostas!E150:E154)</f>
        <v/>
      </c>
      <c r="I30" s="12">
        <f>IF(H30=0,"",G30/H30)</f>
        <v/>
      </c>
      <c r="J30" s="5">
        <f>IF(I30="","Sem resposta",LOOKUP(I30,{0,0.5,1.5,2.5,3.5},{"L0 — Inicial","L1 — Em Desenvolvimento","L2 — Definido","L3 — Gerenciado","L4 — Otimizando"}))</f>
        <v/>
      </c>
      <c r="K30" s="5">
        <f>IF(H30=0,0,D30*I30)</f>
        <v/>
      </c>
      <c r="L30" s="5">
        <f>IF(H30=0,0,D30)</f>
        <v/>
      </c>
    </row>
    <row r="31">
      <c r="A31" s="5" t="inlineStr">
        <is>
          <t>P3-C9</t>
        </is>
      </c>
      <c r="B31" s="5" t="inlineStr">
        <is>
          <t>FinOps e Otimização de Custos</t>
        </is>
      </c>
      <c r="C31" s="5" t="inlineStr">
        <is>
          <t>P3</t>
        </is>
      </c>
      <c r="D31" s="5" t="n">
        <v>0.9</v>
      </c>
      <c r="E31" s="5">
        <f>COUNT(Respostas!F155:F159)</f>
        <v/>
      </c>
      <c r="F31" s="5" t="n">
        <v>5</v>
      </c>
      <c r="G31" s="5">
        <f>SUMPRODUCT(Respostas!F155:F159,Respostas!E155:E159)</f>
        <v/>
      </c>
      <c r="H31" s="5">
        <f>SUMPRODUCT(--(Respostas!F155:F159&lt;&gt;""),Respostas!E155:E159)</f>
        <v/>
      </c>
      <c r="I31" s="12">
        <f>IF(H31=0,"",G31/H31)</f>
        <v/>
      </c>
      <c r="J31" s="5">
        <f>IF(I31="","Sem resposta",LOOKUP(I31,{0,0.5,1.5,2.5,3.5},{"L0 — Inicial","L1 — Em Desenvolvimento","L2 — Definido","L3 — Gerenciado","L4 — Otimizando"}))</f>
        <v/>
      </c>
      <c r="K31" s="5">
        <f>IF(H31=0,0,D31*I31)</f>
        <v/>
      </c>
      <c r="L31" s="5">
        <f>IF(H31=0,0,D31)</f>
        <v/>
      </c>
    </row>
    <row r="34">
      <c r="A34" s="10" t="inlineStr">
        <is>
          <t>Score por pilar</t>
        </is>
      </c>
    </row>
    <row r="35">
      <c r="A35" s="6" t="inlineStr">
        <is>
          <t>ID</t>
        </is>
      </c>
      <c r="B35" s="6" t="inlineStr">
        <is>
          <t>Nome</t>
        </is>
      </c>
      <c r="C35" s="6" t="inlineStr">
        <is>
          <t>Score</t>
        </is>
      </c>
      <c r="D35" s="6" t="inlineStr">
        <is>
          <t>Rótulo</t>
        </is>
      </c>
    </row>
    <row r="36">
      <c r="A36" s="5" t="inlineStr">
        <is>
          <t>P1</t>
        </is>
      </c>
      <c r="B36" s="5" t="inlineStr">
        <is>
          <t>Produtividade do Desenvolvedor</t>
        </is>
      </c>
      <c r="C36" s="12">
        <f>IF(SUM(L4:L12)=0,0,SUM(K4:K12)/SUM(L4:L12))</f>
        <v/>
      </c>
      <c r="D36" s="5">
        <f>LOOKUP(C36,{0,0.5,1.5,2.5,3.5},{"L0 — Inicial","L1 — Em Desenvolvimento","L2 — Definido","L3 — Gerenciado","L4 — Otimizando"})</f>
        <v/>
      </c>
    </row>
    <row r="37">
      <c r="A37" s="5" t="inlineStr">
        <is>
          <t>P2</t>
        </is>
      </c>
      <c r="B37" s="5" t="inlineStr">
        <is>
          <t>Ciclo de Vida DevOps</t>
        </is>
      </c>
      <c r="C37" s="12">
        <f>IF(SUM(L13:L22)=0,0,SUM(K13:K22)/SUM(L13:L22))</f>
        <v/>
      </c>
      <c r="D37" s="5">
        <f>LOOKUP(C37,{0,0.5,1.5,2.5,3.5},{"L0 — Inicial","L1 — Em Desenvolvimento","L2 — Definido","L3 — Gerenciado","L4 — Otimizando"})</f>
        <v/>
      </c>
    </row>
    <row r="38">
      <c r="A38" s="5" t="inlineStr">
        <is>
          <t>P3</t>
        </is>
      </c>
      <c r="B38" s="5" t="inlineStr">
        <is>
          <t>Plataforma de Aplicações</t>
        </is>
      </c>
      <c r="C38" s="12">
        <f>IF(SUM(L23:L31)=0,0,SUM(K23:K31)/SUM(L23:L31))</f>
        <v/>
      </c>
      <c r="D38" s="5">
        <f>LOOKUP(C38,{0,0.5,1.5,2.5,3.5},{"L0 — Inicial","L1 — Em Desenvolvimento","L2 — Definido","L3 — Gerenciado","L4 — Otimizando"})</f>
        <v/>
      </c>
    </row>
    <row r="40">
      <c r="A40" s="10" t="inlineStr">
        <is>
          <t>Overall (SUMPRODUCT sobre TODAS as capabilities, não é média dos pilares)</t>
        </is>
      </c>
    </row>
    <row r="41">
      <c r="A41" s="13" t="inlineStr">
        <is>
          <t>Overall</t>
        </is>
      </c>
      <c r="B41" s="5" t="n"/>
      <c r="C41" s="12">
        <f>IF(SUM(L4:L31)=0,0,SUM(K4:K31)/SUM(L4:L31))</f>
        <v/>
      </c>
      <c r="D41" s="5">
        <f>LOOKUP(C41,{0,0.5,1.5,2.5,3.5},{"L0 — Inicial","L1 — Em Desenvolvimento","L2 — Definido","L3 — Gerenciado","L4 — Otimizando"})</f>
        <v/>
      </c>
    </row>
    <row r="43">
      <c r="A43" s="10" t="inlineStr">
        <is>
          <t>Threshold de cobertura</t>
        </is>
      </c>
    </row>
    <row r="44">
      <c r="A44" t="inlineStr">
        <is>
          <t>Respondidas</t>
        </is>
      </c>
      <c r="C44">
        <f>COUNT(Respostas!F2:F159)</f>
        <v/>
      </c>
    </row>
    <row r="45">
      <c r="A45" t="inlineStr">
        <is>
          <t>Aplicáveis</t>
        </is>
      </c>
      <c r="C45" t="n">
        <v>158</v>
      </c>
    </row>
    <row r="46">
      <c r="A46" t="inlineStr">
        <is>
          <t>Status</t>
        </is>
      </c>
      <c r="C46">
        <f>IF(C44&gt;=40,"OK",IF(C44&gt;=25,"WARNING","BLOCKED"))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scripts/generate_scoring_workbook.py</dc:creator>
  <dcterms:created xsi:type="dcterms:W3CDTF">2026-01-01T00:00:00Z</dcterms:created>
  <dcterms:modified xsi:type="dcterms:W3CDTF">2026-01-01T00:00:00Z</dcterms:modified>
  <cp:lastModifiedBy>scripts/generate_scoring_workbook.py</cp:lastModifiedBy>
</cp:coreProperties>
</file>